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Tools\project\demoblaze-qa-automation\test-cases\"/>
    </mc:Choice>
  </mc:AlternateContent>
  <xr:revisionPtr revIDLastSave="0" documentId="13_ncr:1_{0902C050-3877-492A-B740-F758B47DC4E7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ummary" sheetId="1" r:id="rId1"/>
    <sheet name="Login" sheetId="2" r:id="rId2"/>
    <sheet name="Cart" sheetId="3" r:id="rId3"/>
    <sheet name="Order" sheetId="4" r:id="rId4"/>
  </sheets>
  <definedNames>
    <definedName name="_xlnm._FilterDatabase" localSheetId="2" hidden="1">Cart!$A$1:$O$19</definedName>
    <definedName name="_xlnm._FilterDatabase" localSheetId="1" hidden="1">Login!$A$1:$O$26</definedName>
    <definedName name="_xlnm._FilterDatabase" localSheetId="3" hidden="1">Order!$A$1:$O$15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1" l="1"/>
  <c r="D20" i="1"/>
  <c r="C20" i="1"/>
  <c r="B20" i="1"/>
  <c r="E19" i="1"/>
  <c r="G19" i="1" s="1"/>
  <c r="D19" i="1"/>
  <c r="C19" i="1"/>
  <c r="B19" i="1"/>
  <c r="F19" i="1" s="1"/>
  <c r="E18" i="1"/>
  <c r="D18" i="1"/>
  <c r="F18" i="1" s="1"/>
  <c r="C18" i="1"/>
  <c r="B18" i="1"/>
  <c r="F13" i="1"/>
  <c r="D13" i="1"/>
  <c r="C13" i="1"/>
  <c r="B13" i="1"/>
  <c r="E13" i="1" s="1"/>
  <c r="F12" i="1"/>
  <c r="E12" i="1"/>
  <c r="D12" i="1"/>
  <c r="C12" i="1"/>
  <c r="B12" i="1"/>
  <c r="F11" i="1"/>
  <c r="D11" i="1"/>
  <c r="D14" i="1" s="1"/>
  <c r="C11" i="1"/>
  <c r="C14" i="1" s="1"/>
  <c r="B11" i="1"/>
  <c r="B14" i="1" s="1"/>
  <c r="F20" i="1" l="1"/>
  <c r="G20" i="1"/>
  <c r="F14" i="1"/>
  <c r="E11" i="1"/>
  <c r="E14" i="1" s="1"/>
  <c r="G18" i="1" l="1"/>
</calcChain>
</file>

<file path=xl/sharedStrings.xml><?xml version="1.0" encoding="utf-8"?>
<sst xmlns="http://schemas.openxmlformats.org/spreadsheetml/2006/main" count="831" uniqueCount="366">
  <si>
    <t>Demoblaze – Test Case Suite (Login, Cart &amp; Order)</t>
  </si>
  <si>
    <t>Application</t>
  </si>
  <si>
    <t>https://www.demoblaze.com/</t>
  </si>
  <si>
    <t>Scope</t>
  </si>
  <si>
    <t>Login, Cart, Order (Place Order from cart)</t>
  </si>
  <si>
    <t>Author</t>
  </si>
  <si>
    <t>Nolan Tran</t>
  </si>
  <si>
    <t>Version</t>
  </si>
  <si>
    <t>1.0</t>
  </si>
  <si>
    <t>Created</t>
  </si>
  <si>
    <t>2026-10-25</t>
  </si>
  <si>
    <t>Feature</t>
  </si>
  <si>
    <t>Functional</t>
  </si>
  <si>
    <t>Negative</t>
  </si>
  <si>
    <t>Edge</t>
  </si>
  <si>
    <t>Total</t>
  </si>
  <si>
    <t>Automated</t>
  </si>
  <si>
    <t>Login</t>
  </si>
  <si>
    <t>Cart</t>
  </si>
  <si>
    <t>Order</t>
  </si>
  <si>
    <t>Execution status</t>
  </si>
  <si>
    <t>Pass</t>
  </si>
  <si>
    <t>Fail</t>
  </si>
  <si>
    <t>Blocked</t>
  </si>
  <si>
    <t>Not Run</t>
  </si>
  <si>
    <t>Pass rate</t>
  </si>
  <si>
    <t>Execution rate</t>
  </si>
  <si>
    <t>TC ID</t>
  </si>
  <si>
    <t>Sub-feature</t>
  </si>
  <si>
    <t>Title</t>
  </si>
  <si>
    <t>Type</t>
  </si>
  <si>
    <t>Priority</t>
  </si>
  <si>
    <t>Preconditions</t>
  </si>
  <si>
    <t>Test Data</t>
  </si>
  <si>
    <t>Test Steps</t>
  </si>
  <si>
    <t>Expected Result</t>
  </si>
  <si>
    <t>Automation</t>
  </si>
  <si>
    <t>Planned Spec</t>
  </si>
  <si>
    <t>Status</t>
  </si>
  <si>
    <t>Actual Result</t>
  </si>
  <si>
    <t>Notes</t>
  </si>
  <si>
    <t>LG-001</t>
  </si>
  <si>
    <t>Login modal</t>
  </si>
  <si>
    <t>Login modal opens from navbar</t>
  </si>
  <si>
    <t>High</t>
  </si>
  <si>
    <t>Browser open at https://www.demoblaze.com/
User is NOT logged in</t>
  </si>
  <si>
    <t>N/A</t>
  </si>
  <si>
    <t>1. Click 'Log in' in the navbar</t>
  </si>
  <si>
    <t>Login modal is displayed with title 'Log in', Username field, Password field, 'Close' and 'Log in' buttons</t>
  </si>
  <si>
    <t>UI</t>
  </si>
  <si>
    <t>tests/e2e/login/login-modal.spec.ts</t>
  </si>
  <si>
    <t>LG-002</t>
  </si>
  <si>
    <t>Authentication</t>
  </si>
  <si>
    <t>Login with valid credentials</t>
  </si>
  <si>
    <t>Critical</t>
  </si>
  <si>
    <t>A registered account exists (TEST_USERNAME / TEST_PASSWORD)
User is NOT logged in</t>
  </si>
  <si>
    <t>Username: &lt;TEST_USERNAME&gt;
Password: &lt;TEST_PASSWORD&gt;</t>
  </si>
  <si>
    <t>1. Click 'Log in'
2. Enter valid username
3. Enter valid password
4. Click 'Log in' button</t>
  </si>
  <si>
    <t>No error alert
Modal closes
Navbar shows 'Welcome &lt;username&gt;'
'Log out' is visible; 'Log in' and 'Sign up' are hidden</t>
  </si>
  <si>
    <t>tests/e2e/login/authentication.spec.ts</t>
  </si>
  <si>
    <t>LG-003</t>
  </si>
  <si>
    <t>Session</t>
  </si>
  <si>
    <t>Session persists after page reload</t>
  </si>
  <si>
    <t>LG-002 completed</t>
  </si>
  <si>
    <t>1. Log in successfully
2. Reload the page (F5)</t>
  </si>
  <si>
    <t>User remains logged in; 'Welcome &lt;username&gt;' still displayed</t>
  </si>
  <si>
    <t>tests/e2e/login/session.spec.ts</t>
  </si>
  <si>
    <t>LG-004</t>
  </si>
  <si>
    <t>Session persists across pages</t>
  </si>
  <si>
    <t>Medium</t>
  </si>
  <si>
    <t>1. Log in successfully
2. Open a product page
3. Open Cart page
4. Return to Home</t>
  </si>
  <si>
    <t>'Welcome &lt;username&gt;' displayed on every page</t>
  </si>
  <si>
    <t>LG-005</t>
  </si>
  <si>
    <t>Logout</t>
  </si>
  <si>
    <t>Logout ends the session</t>
  </si>
  <si>
    <t>User is logged in</t>
  </si>
  <si>
    <t>1. Click 'Log out'
2. Reload the page</t>
  </si>
  <si>
    <t>'Welcome &lt;username&gt;' and 'Log out' are hidden
'Log in' and 'Sign up' are visible
User stays logged out after reload</t>
  </si>
  <si>
    <t>LG-006</t>
  </si>
  <si>
    <t>Close modal without logging in</t>
  </si>
  <si>
    <t>Low</t>
  </si>
  <si>
    <t>1. Click 'Log in'
2. Enter credentials
3. Click 'Close' (or X)</t>
  </si>
  <si>
    <t>Modal closes; no login request is sent; user remains logged out</t>
  </si>
  <si>
    <t>LG-007</t>
  </si>
  <si>
    <t>Password input is masked</t>
  </si>
  <si>
    <t>Password: Secret123</t>
  </si>
  <si>
    <t>1. Click 'Log in'
2. Type a password</t>
  </si>
  <si>
    <t>Password field has type='password'; characters are masked</t>
  </si>
  <si>
    <t>LG-008</t>
  </si>
  <si>
    <t>Login with Unicode / special-character username</t>
  </si>
  <si>
    <t>An account exists whose username contains Unicode and special characters</t>
  </si>
  <si>
    <t>Username: qa_ñgườidùng_#1
Password: &lt;valid&gt;</t>
  </si>
  <si>
    <t>1. Open Login modal
2. Enter the Unicode username and valid password
3. Click 'Log in'</t>
  </si>
  <si>
    <t>Login succeeds; 'Welcome &lt;username&gt;' renders the characters correctly</t>
  </si>
  <si>
    <t>Account is created via API in test setup</t>
  </si>
  <si>
    <t>LG-009</t>
  </si>
  <si>
    <t>Login request does not send plain-text password</t>
  </si>
  <si>
    <t>Valid credentials</t>
  </si>
  <si>
    <t>1. Open DevTools Network (or intercept request)
2. Log in
3. Inspect POST /login payload</t>
  </si>
  <si>
    <t>Payload 'password' field is not the plain-text password (it is encoded)</t>
  </si>
  <si>
    <t>tests/e2e/login/security.spec.ts</t>
  </si>
  <si>
    <t>Encoding is Base64, which is not encryption; transport security relies on HTTPS</t>
  </si>
  <si>
    <t>LG-010</t>
  </si>
  <si>
    <t>Validation</t>
  </si>
  <si>
    <t>Login with empty username and password</t>
  </si>
  <si>
    <t>Username: (empty)
Password: (empty)</t>
  </si>
  <si>
    <t>1. Open Login modal
2. Leave both fields empty
3. Click 'Log in'</t>
  </si>
  <si>
    <t>Alert 'Please fill out Username and Password.' is shown; user not logged in</t>
  </si>
  <si>
    <t>tests/e2e/login/validation.spec.ts</t>
  </si>
  <si>
    <t>LG-011</t>
  </si>
  <si>
    <t>Login with empty username</t>
  </si>
  <si>
    <t>Username: (empty)
Password: &lt;TEST_PASSWORD&gt;</t>
  </si>
  <si>
    <t>1. Open Login modal
2. Enter only password
3. Click 'Log in'</t>
  </si>
  <si>
    <t>LG-012</t>
  </si>
  <si>
    <t>Login with empty password</t>
  </si>
  <si>
    <t>Username: &lt;TEST_USERNAME&gt;
Password: (empty)</t>
  </si>
  <si>
    <t>1. Open Login modal
2. Enter only username
3. Click 'Log in'</t>
  </si>
  <si>
    <t>LG-013</t>
  </si>
  <si>
    <t>Login with wrong password</t>
  </si>
  <si>
    <t>Username: &lt;TEST_USERNAME&gt;
Password: WrongPass!123</t>
  </si>
  <si>
    <t>1. Open Login modal
2. Enter valid username, wrong password
3. Click 'Log in'</t>
  </si>
  <si>
    <t>Alert 'Wrong password.' is shown; user not logged in</t>
  </si>
  <si>
    <t>UI + API</t>
  </si>
  <si>
    <t>tests/e2e/login/authentication.spec.ts
tests/integration/auth.api.spec.ts</t>
  </si>
  <si>
    <t>LG-014</t>
  </si>
  <si>
    <t>Login with non-existent username</t>
  </si>
  <si>
    <t>Username: nouser_&lt;timestamp&gt;
Password: any</t>
  </si>
  <si>
    <t>1. Open Login modal
2. Enter an unregistered username
3. Click 'Log in'</t>
  </si>
  <si>
    <t>Alert 'User does not exist.' is shown; user not logged in</t>
  </si>
  <si>
    <t>LG-015</t>
  </si>
  <si>
    <t>Password is case-sensitive</t>
  </si>
  <si>
    <t>Username: &lt;TEST_USERNAME&gt;
Password: &lt;TEST_PASSWORD&gt; with inverted letter case</t>
  </si>
  <si>
    <t>1. Open Login modal
2. Enter valid username and password with changed case
3. Click 'Log in'</t>
  </si>
  <si>
    <t>LG-016</t>
  </si>
  <si>
    <t>Whitespace-only username and password</t>
  </si>
  <si>
    <t>Username: '   '
Password: '   '</t>
  </si>
  <si>
    <t>1. Open Login modal
2. Enter only spaces in both fields
3. Click 'Log in'</t>
  </si>
  <si>
    <t>Input treated as empty: validation alert shown, no login request is accepted; user not logged in</t>
  </si>
  <si>
    <t>Alert 'Wrong password.' shown; whitespace input is sent to the API and an account with a whitespace-only username exists</t>
  </si>
  <si>
    <t>LG-017</t>
  </si>
  <si>
    <t>Security</t>
  </si>
  <si>
    <t>SQL injection string in username</t>
  </si>
  <si>
    <t>Username: ' OR '1'='1
Password: ' OR '1'='1</t>
  </si>
  <si>
    <t>1. Open Login modal
2. Enter the injection strings
3. Click 'Log in'</t>
  </si>
  <si>
    <t>Login fails with an error alert; no server error, no session created</t>
  </si>
  <si>
    <t>LG-018</t>
  </si>
  <si>
    <t>XSS payload in username</t>
  </si>
  <si>
    <t>Username: &lt;img src=x onerror=alert('xss')&gt;
Password: any</t>
  </si>
  <si>
    <t>1. Open Login modal
2. Enter the payload
3. Click 'Log in'</t>
  </si>
  <si>
    <t>Payload is not executed (no 'xss' dialog, no injected element); login fails with an error alert</t>
  </si>
  <si>
    <t>LG-019</t>
  </si>
  <si>
    <t>Username with leading/trailing spaces</t>
  </si>
  <si>
    <t>Username: '  &lt;TEST_USERNAME&gt;  '
Password: &lt;TEST_PASSWORD&gt;</t>
  </si>
  <si>
    <t>1. Open Login modal
2. Enter username surrounded by spaces, valid password
3. Click 'Log in'</t>
  </si>
  <si>
    <t>System applies one consistent rule: either input is trimmed and login succeeds, or login fails with an error alert. No partial/broken session</t>
  </si>
  <si>
    <t>Confirm trimming rule with BA</t>
  </si>
  <si>
    <t>LG-020</t>
  </si>
  <si>
    <t>Username in different letter case</t>
  </si>
  <si>
    <t>Username: &lt;TEST_USERNAME&gt; in UPPER CASE
Password: &lt;TEST_PASSWORD&gt;</t>
  </si>
  <si>
    <t>1. Open Login modal
2. Enter upper-cased username, valid password
3. Click 'Log in'</t>
  </si>
  <si>
    <t>Login fails with an error alert (usernames are case-sensitive); user not logged in</t>
  </si>
  <si>
    <t>Confirm case-sensitivity rule with BA</t>
  </si>
  <si>
    <t>LG-021</t>
  </si>
  <si>
    <t>Very long username (2000 characters)</t>
  </si>
  <si>
    <t>Username: 'a' x 300
Password: any</t>
  </si>
  <si>
    <t>1. Open Login modal
2. Enter the long username
3. Click 'Log in'</t>
  </si>
  <si>
    <t>Error alert shown; page remains responsive; no server error</t>
  </si>
  <si>
    <t>No alert is shown, the Log in modal stays open and the user gets no feedback.</t>
  </si>
  <si>
    <t>LG-022</t>
  </si>
  <si>
    <t>Double-click 'Log in' button</t>
  </si>
  <si>
    <t>1. Open Login modal
2. Enter valid credentials
3. Double-click 'Log in' quickly</t>
  </si>
  <si>
    <t>User logged in once; 'Welcome &lt;username&gt;' shown; no error alert</t>
  </si>
  <si>
    <t>LG-023</t>
  </si>
  <si>
    <t>Logout in one tab invalidates other tab after reload</t>
  </si>
  <si>
    <t>User logged in in two tabs of the same browser</t>
  </si>
  <si>
    <t>1. In tab A click 'Log out'
2. In tab B reload the page</t>
  </si>
  <si>
    <t>Tab B shows logged-out state ('Log in' visible)</t>
  </si>
  <si>
    <t>LG-024</t>
  </si>
  <si>
    <t>Auth token cookie lifecycle</t>
  </si>
  <si>
    <t>1. Log in
2. Inspect cookies
3. Log out
4. Inspect cookies</t>
  </si>
  <si>
    <t>After login an auth token cookie (tokenp_) exists; after logout it is removed</t>
  </si>
  <si>
    <t>LG-025</t>
  </si>
  <si>
    <t>API</t>
  </si>
  <si>
    <t>POST /login with valid credentials returns token</t>
  </si>
  <si>
    <t>A registered account exists</t>
  </si>
  <si>
    <t>{ username, password: base64(password) }</t>
  </si>
  <si>
    <t>1. Send POST https://api.demoblaze.com/login</t>
  </si>
  <si>
    <t>HTTP 200; body contains 'Auth_token: &lt;token&gt;'; token validates via POST /check</t>
  </si>
  <si>
    <t>tests/integration/auth.api.spec.ts</t>
  </si>
  <si>
    <t>CT-001</t>
  </si>
  <si>
    <t>Add to cart</t>
  </si>
  <si>
    <t>Guest adds a product to cart</t>
  </si>
  <si>
    <t>Product: Samsung galaxy s6 ($360)</t>
  </si>
  <si>
    <t>1. Click product 'Samsung galaxy s6'
2. Click 'Add to cart'
3. Accept the alert
4. Open 'Cart'</t>
  </si>
  <si>
    <t>Alert 'Product added' shown
Cart shows 1 row: title 'Samsung galaxy s6', price 360
Total = 360</t>
  </si>
  <si>
    <t>tests/e2e/cart/add-to-cart.spec.ts</t>
  </si>
  <si>
    <t>CT-002</t>
  </si>
  <si>
    <t>Logged-in user adds a product to cart</t>
  </si>
  <si>
    <t>User is logged in with a registered account
Cart of that account is empty</t>
  </si>
  <si>
    <t>Product: Nokia lumia 1520 ($820)</t>
  </si>
  <si>
    <t>1. Open product 'Nokia lumia 1520'
2. Click 'Add to cart'
3. Accept alert
4. Open 'Cart'</t>
  </si>
  <si>
    <t>Cart shows 1 row: 'Nokia lumia 1520', price 820
Total = 820</t>
  </si>
  <si>
    <t>CT-003</t>
  </si>
  <si>
    <t>Add multiple different products</t>
  </si>
  <si>
    <t>Samsung galaxy s6 ($360), Nokia lumia 1520 ($820), Sony vaio i5 ($790)</t>
  </si>
  <si>
    <t>1. Add each product to cart
2. Open 'Cart'</t>
  </si>
  <si>
    <t>3 rows listed with correct titles and prices
Total = 1970 (sum of prices)</t>
  </si>
  <si>
    <t>CT-004</t>
  </si>
  <si>
    <t>Add the same product twice</t>
  </si>
  <si>
    <t>Samsung galaxy s6 ($360) x2</t>
  </si>
  <si>
    <t>1. Add 'Samsung galaxy s6' to cart twice
2. Open 'Cart'</t>
  </si>
  <si>
    <t>2 rows of 'Samsung galaxy s6'
Total = 720</t>
  </si>
  <si>
    <t>Cart has no quantity field; each add creates a row</t>
  </si>
  <si>
    <t>CT-005</t>
  </si>
  <si>
    <t>Remove item</t>
  </si>
  <si>
    <t>Delete one item from cart</t>
  </si>
  <si>
    <t>Cart contains: Samsung galaxy s6 ($360), Nokia lumia 1520 ($820)</t>
  </si>
  <si>
    <t>1. Open 'Cart'
2. Click 'Delete' on 'Samsung galaxy s6'</t>
  </si>
  <si>
    <t>Row 'Samsung galaxy s6' removed; 'Nokia lumia 1520' remains
Total = 820</t>
  </si>
  <si>
    <t>tests/e2e/cart/remove-item.spec.ts</t>
  </si>
  <si>
    <t>CT-006</t>
  </si>
  <si>
    <t>Delete all items from cart</t>
  </si>
  <si>
    <t>1. Open 'Cart'
2. Delete every row</t>
  </si>
  <si>
    <t>Cart table is empty; Total is empty / 0</t>
  </si>
  <si>
    <t>CT-007</t>
  </si>
  <si>
    <t>Persistence</t>
  </si>
  <si>
    <t>Guest cart persists after reload</t>
  </si>
  <si>
    <t>Cart contains 1 product: Samsung galaxy s6 ($360) (guest)</t>
  </si>
  <si>
    <t>1. Open 'Cart'
2. Reload page</t>
  </si>
  <si>
    <t>Same item and total shown after reload</t>
  </si>
  <si>
    <t>tests/e2e/cart/persistence.spec.ts</t>
  </si>
  <si>
    <t>CT-008</t>
  </si>
  <si>
    <t>Logged-in cart persists across sessions</t>
  </si>
  <si>
    <t>Samsung galaxy s6</t>
  </si>
  <si>
    <t>1. Add 'Samsung galaxy s6'
2. Log out
3. Close browser / open new browser context
4. Log in again
5. Open 'Cart'</t>
  </si>
  <si>
    <t>Cart still contains 'Samsung galaxy s6'</t>
  </si>
  <si>
    <t>CT-009</t>
  </si>
  <si>
    <t>Cart view</t>
  </si>
  <si>
    <t>Cart table structure</t>
  </si>
  <si>
    <t>Cart contains 1 product: Samsung galaxy s6 ($360)</t>
  </si>
  <si>
    <t>1. Open 'Cart'</t>
  </si>
  <si>
    <t>Table headers: Pic, Title, Price, x
Each row has image, title, price and 'Delete' link
'Place Order' button visible</t>
  </si>
  <si>
    <t>tests/e2e/cart/cart-view.spec.ts</t>
  </si>
  <si>
    <t>CT-010</t>
  </si>
  <si>
    <t>Cart price matches product page price</t>
  </si>
  <si>
    <t>Product: MacBook air</t>
  </si>
  <si>
    <t>1. Open product page, note price
2. Add to cart
3. Open 'Cart'</t>
  </si>
  <si>
    <t>Price in cart equals price on product page (without '$' and '*includes tax')</t>
  </si>
  <si>
    <t>CT-011</t>
  </si>
  <si>
    <t>Products from different categories</t>
  </si>
  <si>
    <t>Phone: Samsung galaxy s6; Laptop: Sony vaio i5; Monitor: Apple monitor 24</t>
  </si>
  <si>
    <t>1. Filter by each category and add one product
2. Open 'Cart'</t>
  </si>
  <si>
    <t>3 rows, one per category; total = sum of the 3 prices</t>
  </si>
  <si>
    <t>CT-012</t>
  </si>
  <si>
    <t>Isolation</t>
  </si>
  <si>
    <t>Guest cart is not shared between sessions</t>
  </si>
  <si>
    <t>Two separate browser contexts (guest A, guest B)</t>
  </si>
  <si>
    <t>1. Guest A adds 'Samsung galaxy s6'
2. Guest B opens 'Cart'</t>
  </si>
  <si>
    <t>Guest B's cart is empty</t>
  </si>
  <si>
    <t>tests/e2e/cart/persistence.spec.ts
tests/integration/cart.api.spec.ts</t>
  </si>
  <si>
    <t>CT-013</t>
  </si>
  <si>
    <t>Users cannot see each other's carts</t>
  </si>
  <si>
    <t>Two registered accounts (user A, user B)</t>
  </si>
  <si>
    <t>Nokia lumia 1520</t>
  </si>
  <si>
    <t>1. User A adds 'Nokia lumia 1520'
2. User B views cart (UI or POST /viewcart)</t>
  </si>
  <si>
    <t>User B's cart does not contain user A's item</t>
  </si>
  <si>
    <t>tests/integration/cart.api.spec.ts</t>
  </si>
  <si>
    <t>CT-014</t>
  </si>
  <si>
    <t>Delete with invalid item id (API)</t>
  </si>
  <si>
    <t>POST /deleteitem { id: 'non-existent-uuid' }</t>
  </si>
  <si>
    <t>1. Send POST /deleteitem with an unknown id
2. POST /viewcart</t>
  </si>
  <si>
    <t>No server error; existing cart item is not removed</t>
  </si>
  <si>
    <t>CT-015</t>
  </si>
  <si>
    <t>Add many items (10) or max</t>
  </si>
  <si>
    <t>10 x add to cart via API</t>
  </si>
  <si>
    <t>1. Add 10 products
2. Open 'Cart'</t>
  </si>
  <si>
    <t>10 (max) rows listed; total equals sum of prices</t>
  </si>
  <si>
    <t>Items seeded via API to speed up setup</t>
  </si>
  <si>
    <t>CT-016</t>
  </si>
  <si>
    <t>Delete one of two identical rows</t>
  </si>
  <si>
    <t>Cart contains 'Samsung galaxy s6' twice</t>
  </si>
  <si>
    <t>1. Open 'Cart'
2. Delete one 'Samsung galaxy s6' row</t>
  </si>
  <si>
    <t>Exactly 1 row remains; Total = 360</t>
  </si>
  <si>
    <t>CT-017</t>
  </si>
  <si>
    <t>Rapid double-click 'Add to cart'</t>
  </si>
  <si>
    <t>1. On product page double-click 'Add to cart' quickly
2. Open 'Cart'</t>
  </si>
  <si>
    <t>Number of rows equals number of successful 'Product added' alerts; cart total is consistent</t>
  </si>
  <si>
    <t>CT-018</t>
  </si>
  <si>
    <t>Add / view / delete cart item via API</t>
  </si>
  <si>
    <t>Guest cookie id generated</t>
  </si>
  <si>
    <t>POST /addtocart, /viewcart, /deleteitem</t>
  </si>
  <si>
    <t>1. POST /addtocart {id, cookie, prod_id:1, flag:false}
2. POST /viewcart
3. POST /deleteitem {id}
4. POST /viewcart</t>
  </si>
  <si>
    <t>Step 2 returns the item with prod_id 1; after delete, step 4 returns no items</t>
  </si>
  <si>
    <t>OD-001</t>
  </si>
  <si>
    <t>Place order</t>
  </si>
  <si>
    <t>1. Open 'Cart'
2. Click 'Place Order'</t>
  </si>
  <si>
    <t>Order modal shows 'Total: 360' and fields Name, Country, City, Credit card, Month, Year; buttons 'Close', 'Purchase'</t>
  </si>
  <si>
    <t>tests/e2e/order/purchase.spec.ts</t>
  </si>
  <si>
    <t>OD-002</t>
  </si>
  <si>
    <t>Purchase with valid data</t>
  </si>
  <si>
    <t>Name: Nolan QA
Country: Vietnam
City: Hanoi
Card: 4111111111111111
Month: 10
Year: 2027</t>
  </si>
  <si>
    <t>1. Open 'Cart' &gt; 'Place Order'
2. Fill all fields
3. Click 'Purchase'</t>
  </si>
  <si>
    <t>Confirmation 'Thank you for your purchase!' shown with Id, Amount: 360 USD, Card Number, Name, Date</t>
  </si>
  <si>
    <t>OD-003</t>
  </si>
  <si>
    <t>Confirmation details match the order</t>
  </si>
  <si>
    <t>Valid order data as OD-002</t>
  </si>
  <si>
    <t>1. Place order with valid data
2. Read the confirmation text</t>
  </si>
  <si>
    <t>Amount = cart total (1180)
Card Number and Name equal the entered values
Date = today's date</t>
  </si>
  <si>
    <t>OD-004</t>
  </si>
  <si>
    <t>Cart is emptied after purchase</t>
  </si>
  <si>
    <t>Valid order data</t>
  </si>
  <si>
    <t>1. Complete purchase
2. Click 'OK'
3. Open 'Cart'</t>
  </si>
  <si>
    <t>Redirected to Home after 'OK'; Cart is empty</t>
  </si>
  <si>
    <t>OD-005</t>
  </si>
  <si>
    <t>Purchase with all fields empty</t>
  </si>
  <si>
    <t>All fields empty</t>
  </si>
  <si>
    <t>1. Open 'Place Order'
2. Click 'Purchase'</t>
  </si>
  <si>
    <t>Alert 'Please fill out Name and Creditcard.'; no confirmation; cart unchanged</t>
  </si>
  <si>
    <t>tests/e2e/order/validation.spec.ts</t>
  </si>
  <si>
    <t>OD-006</t>
  </si>
  <si>
    <t>Purchase without credit card</t>
  </si>
  <si>
    <t>Name: Nolan QA, Card: (empty)</t>
  </si>
  <si>
    <t>1. Open 'Place Order'
2. Fill Name only
3. Click 'Purchase'</t>
  </si>
  <si>
    <t>Alert 'Please fill out Name and Creditcard.'; no confirmation</t>
  </si>
  <si>
    <t>OD-007</t>
  </si>
  <si>
    <t>Purchase without name</t>
  </si>
  <si>
    <t>Name: (empty), Card: 4111111111111111</t>
  </si>
  <si>
    <t>1. Open 'Place Order'
2. Fill Card only
3. Click 'Purchase'</t>
  </si>
  <si>
    <t>OD-008</t>
  </si>
  <si>
    <t>Close order form without purchasing</t>
  </si>
  <si>
    <t>1. Open 'Place Order'
2. Fill fields
3. Click 'Close'
4. Reload Cart</t>
  </si>
  <si>
    <t>Modal closes; no confirmation; cart still contains the item</t>
  </si>
  <si>
    <t>OD-009</t>
  </si>
  <si>
    <t>Non-numeric credit card number</t>
  </si>
  <si>
    <t>Card: abcd-efgh</t>
  </si>
  <si>
    <t>1. Open 'Place Order'
2. Enter Name and non-numeric card
3. Click 'Purchase'</t>
  </si>
  <si>
    <t>Purchase rejected with a card validation message; no confirmation</t>
  </si>
  <si>
    <t>Likely defect if purchase succeeds</t>
  </si>
  <si>
    <t>OD-010</t>
  </si>
  <si>
    <t>Invalid month / past year</t>
  </si>
  <si>
    <t>Month: 13; Year: 2000</t>
  </si>
  <si>
    <t>1. Open 'Place Order'
2. Enter valid Name/Card, invalid Month &amp; Year
3. Click 'Purchase'</t>
  </si>
  <si>
    <t>Purchase rejected with an expiry validation message</t>
  </si>
  <si>
    <t>OD-011</t>
  </si>
  <si>
    <t>Place order with empty cart</t>
  </si>
  <si>
    <t>Cart is empty</t>
  </si>
  <si>
    <t>1. Open 'Cart'
2. Click 'Place Order'
3. Fill valid data, click 'Purchase'</t>
  </si>
  <si>
    <t>Order is blocked (button disabled or message 'Cart is empty'); no confirmation with Amount 0</t>
  </si>
  <si>
    <t>Likely defect if a 0 USD order is confirmed</t>
  </si>
  <si>
    <t>OD-012</t>
  </si>
  <si>
    <t>Special / Unicode characters in Name</t>
  </si>
  <si>
    <t>Name: Trần Nam &lt;b&gt;QA&lt;/b&gt;; Card: 4111111111111111</t>
  </si>
  <si>
    <t>1. Place order with the given name</t>
  </si>
  <si>
    <t>Confirmation shows the name as plain text (no HTML rendered)</t>
  </si>
  <si>
    <t>OD-013</t>
  </si>
  <si>
    <t>Very long Name and Card (255 chars)</t>
  </si>
  <si>
    <t>Name: 'N' x 255; Card: '4' x 255</t>
  </si>
  <si>
    <t>1. Place order with long values</t>
  </si>
  <si>
    <t>Request handled gracefully: confirmation or validation message; no UI break, no server error</t>
  </si>
  <si>
    <t>OD-014</t>
  </si>
  <si>
    <t>Cart unchanged after browser Back from purchase</t>
  </si>
  <si>
    <t>1. Complete purchase and click 'OK'
2. Press browser Back
3. Open 'Cart'</t>
  </si>
  <si>
    <t>Cart is empty; purchased item does not reappear</t>
  </si>
  <si>
    <t>Place Order' opens order form with total</t>
  </si>
  <si>
    <t>Month is not correct. 
Expected: Oct
Actual: Sep</t>
  </si>
  <si>
    <t>// Clicking OK before the popup's opening animation ends (no "visible" class yet) only closes it: the site never goes to index.html and the Place order modal keeps blocking the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</si>
</sst>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</font>
    <font>
      <sz val="10"/>
      <name val="Arial"/>
    </font>
    <font>
      <b/>
      <sz val="14"/>
      <color rgb="FF1F3864"/>
      <name val="Arial"/>
    </font>
    <font>
      <b/>
      <sz val="10"/>
      <name val="Arial"/>
    </font>
    <font>
      <b/>
      <sz val="10"/>
      <color indexed="65"/>
      <name val="Arial"/>
    </font>
    <font>
      <b/>
      <sz val="11"/>
      <name val="Arial"/>
    </font>
    <font>
      <sz val="9"/>
      <color rgb="FF8C8C8C"/>
      <name val="Courier New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E2EFDA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0" xfId="0" applyFont="1"/>
    <xf numFmtId="164" fontId="1" fillId="0" borderId="1" xfId="0" applyNumberFormat="1" applyFont="1" applyBorder="1" applyAlignment="1">
      <alignment horizontal="center"/>
    </xf>
    <xf numFmtId="9" fontId="0" fillId="0" borderId="0" xfId="0" applyNumberFormat="1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129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selection activeCell="D22" sqref="D22"/>
    </sheetView>
  </sheetViews>
  <sheetFormatPr defaultColWidth="8.6328125" defaultRowHeight="14.5" x14ac:dyDescent="0.35"/>
  <cols>
    <col min="1" max="1" width="26" style="1" customWidth="1"/>
    <col min="2" max="6" width="14" style="1" customWidth="1"/>
    <col min="7" max="7" width="14.453125" customWidth="1"/>
  </cols>
  <sheetData>
    <row r="1" spans="1:6" ht="17.399999999999999" customHeight="1" x14ac:dyDescent="0.4">
      <c r="A1" s="2" t="s">
        <v>0</v>
      </c>
    </row>
    <row r="3" spans="1:6" ht="15" customHeight="1" x14ac:dyDescent="0.35">
      <c r="A3" s="3" t="s">
        <v>1</v>
      </c>
      <c r="B3" s="4" t="s">
        <v>2</v>
      </c>
    </row>
    <row r="4" spans="1:6" ht="15" customHeight="1" x14ac:dyDescent="0.35">
      <c r="A4" s="3" t="s">
        <v>3</v>
      </c>
      <c r="B4" s="4" t="s">
        <v>4</v>
      </c>
    </row>
    <row r="5" spans="1:6" ht="15" customHeight="1" x14ac:dyDescent="0.35">
      <c r="A5" s="3" t="s">
        <v>5</v>
      </c>
      <c r="B5" s="4" t="s">
        <v>6</v>
      </c>
    </row>
    <row r="6" spans="1:6" ht="15" customHeight="1" x14ac:dyDescent="0.35">
      <c r="A6" s="3" t="s">
        <v>7</v>
      </c>
      <c r="B6" s="4" t="s">
        <v>8</v>
      </c>
    </row>
    <row r="7" spans="1:6" ht="15" customHeight="1" x14ac:dyDescent="0.35">
      <c r="A7" s="3" t="s">
        <v>9</v>
      </c>
      <c r="B7" s="4" t="s">
        <v>10</v>
      </c>
    </row>
    <row r="10" spans="1:6" ht="15" customHeight="1" x14ac:dyDescent="0.35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</row>
    <row r="11" spans="1:6" ht="15" customHeight="1" x14ac:dyDescent="0.35">
      <c r="A11" s="6" t="s">
        <v>17</v>
      </c>
      <c r="B11" s="7">
        <f>COUNTIF(Login!$E:$E,"Functional")</f>
        <v>9</v>
      </c>
      <c r="C11" s="7">
        <f>COUNTIF(Login!$E:$E,"Negative")</f>
        <v>9</v>
      </c>
      <c r="D11" s="7">
        <f>COUNTIF(Login!$E:$E,"Edge")</f>
        <v>7</v>
      </c>
      <c r="E11" s="7">
        <f t="shared" ref="E11:E13" si="0">SUM(B11:D11)</f>
        <v>25</v>
      </c>
      <c r="F11" s="7">
        <f>COUNTA(Login!$A:$A)-1-COUNTIF(Login!$K:$K,"Manual")</f>
        <v>25</v>
      </c>
    </row>
    <row r="12" spans="1:6" ht="15" customHeight="1" x14ac:dyDescent="0.35">
      <c r="A12" s="6" t="s">
        <v>18</v>
      </c>
      <c r="B12" s="7">
        <f>COUNTIF(Cart!$E:$E,"Functional")</f>
        <v>11</v>
      </c>
      <c r="C12" s="7">
        <f>COUNTIF(Cart!$E:$E,"Negative")</f>
        <v>3</v>
      </c>
      <c r="D12" s="7">
        <f>COUNTIF(Cart!$E:$E,"Edge")</f>
        <v>4</v>
      </c>
      <c r="E12" s="7">
        <f t="shared" si="0"/>
        <v>18</v>
      </c>
      <c r="F12" s="7">
        <f>COUNTA(Cart!$A:$A)-1-COUNTIF(Cart!$K:$K,"Manual")</f>
        <v>18</v>
      </c>
    </row>
    <row r="13" spans="1:6" ht="15" customHeight="1" x14ac:dyDescent="0.35">
      <c r="A13" s="6" t="s">
        <v>19</v>
      </c>
      <c r="B13" s="7">
        <f>COUNTIF(Order!$E:$E,"Functional")</f>
        <v>4</v>
      </c>
      <c r="C13" s="7">
        <f>COUNTIF(Order!$E:$E,"Negative")</f>
        <v>7</v>
      </c>
      <c r="D13" s="7">
        <f>COUNTIF(Order!$E:$E,"Edge")</f>
        <v>3</v>
      </c>
      <c r="E13" s="7">
        <f t="shared" si="0"/>
        <v>14</v>
      </c>
      <c r="F13" s="7">
        <f>COUNTA(Order!$A:$A)-1-COUNTIF(Order!$K:$K,"Manual")</f>
        <v>14</v>
      </c>
    </row>
    <row r="14" spans="1:6" ht="15" customHeight="1" x14ac:dyDescent="0.35">
      <c r="A14" s="8" t="s">
        <v>15</v>
      </c>
      <c r="B14" s="9">
        <f>SUM(B11:B13)</f>
        <v>24</v>
      </c>
      <c r="C14" s="9">
        <f>SUM(C11:C13)</f>
        <v>19</v>
      </c>
      <c r="D14" s="9">
        <f>SUM(D11:D13)</f>
        <v>14</v>
      </c>
      <c r="E14" s="9">
        <f>SUM(E11:E13)</f>
        <v>57</v>
      </c>
      <c r="F14" s="9">
        <f>SUM(F11:F13)</f>
        <v>57</v>
      </c>
    </row>
    <row r="16" spans="1:6" ht="15" customHeight="1" x14ac:dyDescent="0.35">
      <c r="A16" s="10" t="s">
        <v>20</v>
      </c>
    </row>
    <row r="17" spans="1:7" ht="15" customHeight="1" x14ac:dyDescent="0.35">
      <c r="A17" s="5" t="s">
        <v>11</v>
      </c>
      <c r="B17" s="5" t="s">
        <v>21</v>
      </c>
      <c r="C17" s="5" t="s">
        <v>22</v>
      </c>
      <c r="D17" s="5" t="s">
        <v>23</v>
      </c>
      <c r="E17" s="5" t="s">
        <v>24</v>
      </c>
      <c r="F17" s="5" t="s">
        <v>25</v>
      </c>
      <c r="G17" s="5" t="s">
        <v>26</v>
      </c>
    </row>
    <row r="18" spans="1:7" ht="15" customHeight="1" x14ac:dyDescent="0.35">
      <c r="A18" s="6" t="s">
        <v>17</v>
      </c>
      <c r="B18" s="7">
        <f>COUNTIF(Login!$M:$M,"Pass")</f>
        <v>23</v>
      </c>
      <c r="C18" s="7">
        <f>COUNTIF(Login!$M:$M,"Fail")</f>
        <v>2</v>
      </c>
      <c r="D18" s="7">
        <f>COUNTIF(Login!$M:$M,"Blocked")</f>
        <v>0</v>
      </c>
      <c r="E18" s="7">
        <f>COUNTIF(Login!$M:$M,"Not Run")</f>
        <v>0</v>
      </c>
      <c r="F18" s="11">
        <f t="shared" ref="F18:F20" si="1">IFERROR(B18/(B18+C18+D18),0)</f>
        <v>0.92</v>
      </c>
      <c r="G18" s="12">
        <f t="shared" ref="G18:G20" si="2">1-E18/E11</f>
        <v>1</v>
      </c>
    </row>
    <row r="19" spans="1:7" ht="15" customHeight="1" x14ac:dyDescent="0.35">
      <c r="A19" s="6" t="s">
        <v>18</v>
      </c>
      <c r="B19" s="7">
        <f>COUNTIF(Cart!$M:$M,"Pass")</f>
        <v>18</v>
      </c>
      <c r="C19" s="7">
        <f>COUNTIF(Cart!$M:$M,"Fail")</f>
        <v>0</v>
      </c>
      <c r="D19" s="7">
        <f>COUNTIF(Cart!$M:$M,"Blocked")</f>
        <v>0</v>
      </c>
      <c r="E19" s="7">
        <f>COUNTIF(Cart!$M:$M,"Not Run")</f>
        <v>0</v>
      </c>
      <c r="F19" s="11">
        <f t="shared" si="1"/>
        <v>1</v>
      </c>
      <c r="G19" s="12">
        <f t="shared" si="2"/>
        <v>1</v>
      </c>
    </row>
    <row r="20" spans="1:7" ht="15" customHeight="1" x14ac:dyDescent="0.35">
      <c r="A20" s="6" t="s">
        <v>19</v>
      </c>
      <c r="B20" s="7">
        <f>COUNTIF(Order!$M:$M,"Pass")</f>
        <v>7</v>
      </c>
      <c r="C20" s="7">
        <f>COUNTIF(Order!$M:$M,"Fail")</f>
        <v>4</v>
      </c>
      <c r="D20" s="7">
        <f>COUNTIF(Order!$M:$M,"Blocked")</f>
        <v>0</v>
      </c>
      <c r="E20" s="7">
        <f>COUNTIF(Order!$M:$M,"Not Run")</f>
        <v>3</v>
      </c>
      <c r="F20" s="11">
        <f t="shared" si="1"/>
        <v>0.63636363636363635</v>
      </c>
      <c r="G20" s="12">
        <f t="shared" si="2"/>
        <v>0.7857142857142857</v>
      </c>
    </row>
    <row r="21" spans="1:7" ht="15" customHeight="1" x14ac:dyDescent="0.35"/>
    <row r="22" spans="1:7" ht="15" customHeight="1" x14ac:dyDescent="0.35">
      <c r="A22" s="13"/>
      <c r="B22" s="13"/>
      <c r="C22" s="13"/>
      <c r="D22" s="13"/>
      <c r="E22" s="13"/>
      <c r="F22" s="13"/>
      <c r="G22" s="13"/>
    </row>
    <row r="23" spans="1:7" ht="15" customHeight="1" x14ac:dyDescent="0.35">
      <c r="A23" s="13"/>
      <c r="B23" s="13"/>
      <c r="C23" s="13"/>
      <c r="D23" s="13"/>
      <c r="E23" s="13"/>
      <c r="F23" s="13"/>
      <c r="G23" s="13"/>
    </row>
    <row r="24" spans="1:7" ht="15" customHeight="1" x14ac:dyDescent="0.35">
      <c r="A24" s="13"/>
      <c r="B24" s="13"/>
      <c r="C24" s="13"/>
      <c r="D24" s="13"/>
      <c r="E24" s="13"/>
      <c r="F24" s="13"/>
      <c r="G24" s="13"/>
    </row>
    <row r="25" spans="1:7" ht="15" customHeight="1" x14ac:dyDescent="0.35">
      <c r="A25" s="13"/>
      <c r="B25" s="13"/>
      <c r="C25" s="13"/>
      <c r="D25" s="13"/>
      <c r="E25" s="13"/>
      <c r="F25" s="13"/>
      <c r="G25" s="13"/>
    </row>
    <row r="26" spans="1:7" ht="15" customHeight="1" x14ac:dyDescent="0.35">
      <c r="A26" s="13"/>
      <c r="B26" s="13"/>
      <c r="C26" s="13"/>
      <c r="D26" s="13"/>
      <c r="E26" s="13"/>
      <c r="F26" s="13"/>
      <c r="G26" s="13"/>
    </row>
    <row r="27" spans="1:7" ht="15" customHeight="1" x14ac:dyDescent="0.35">
      <c r="A27" s="13"/>
      <c r="B27" s="13"/>
      <c r="C27" s="13"/>
      <c r="D27" s="13"/>
      <c r="E27" s="13"/>
      <c r="F27" s="13"/>
      <c r="G27" s="13"/>
    </row>
    <row r="28" spans="1:7" ht="15" customHeight="1" x14ac:dyDescent="0.35">
      <c r="A28" s="13"/>
      <c r="B28" s="13"/>
      <c r="C28" s="13"/>
      <c r="D28" s="13"/>
      <c r="E28" s="13"/>
      <c r="F28" s="13"/>
      <c r="G28" s="13"/>
    </row>
    <row r="29" spans="1:7" x14ac:dyDescent="0.35">
      <c r="A29" s="13"/>
      <c r="B29" s="13"/>
      <c r="C29" s="13"/>
      <c r="D29" s="13"/>
      <c r="E29" s="13"/>
      <c r="F29" s="13"/>
      <c r="G29" s="13"/>
    </row>
  </sheetData>
  <pageMargins left="0.75" right="0.75" top="1" bottom="1" header="0.51181102362204689" footer="0.5118110236220468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pane xSplit="4" ySplit="1" topLeftCell="E2" activePane="bottomRight" state="frozen"/>
      <selection activeCell="M26" sqref="M26"/>
      <selection pane="topRight"/>
      <selection pane="bottomLeft"/>
      <selection pane="bottomRight" activeCell="E2" sqref="E2"/>
    </sheetView>
  </sheetViews>
  <sheetFormatPr defaultColWidth="8.6328125" defaultRowHeight="14.5" x14ac:dyDescent="0.35"/>
  <cols>
    <col min="1" max="1" width="10" style="1" customWidth="1"/>
    <col min="2" max="2" width="9" style="1" customWidth="1"/>
    <col min="3" max="3" width="16" style="1" customWidth="1"/>
    <col min="4" max="4" width="38" style="1" customWidth="1"/>
    <col min="5" max="5" width="11" style="1" customWidth="1"/>
    <col min="6" max="6" width="9" style="1" customWidth="1"/>
    <col min="7" max="8" width="30" style="1" customWidth="1"/>
    <col min="9" max="10" width="52" style="1" customWidth="1"/>
    <col min="11" max="11" width="11" style="1" customWidth="1"/>
    <col min="12" max="12" width="34" style="1" customWidth="1"/>
    <col min="13" max="13" width="11" style="1" customWidth="1"/>
    <col min="14" max="14" width="28" style="1" customWidth="1"/>
    <col min="15" max="15" width="34" style="1" customWidth="1"/>
  </cols>
  <sheetData>
    <row r="1" spans="1:15" ht="23.9" customHeight="1" x14ac:dyDescent="0.35">
      <c r="A1" s="14" t="s">
        <v>27</v>
      </c>
      <c r="B1" s="14" t="s">
        <v>11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14" t="s">
        <v>36</v>
      </c>
      <c r="L1" s="14" t="s">
        <v>37</v>
      </c>
      <c r="M1" s="14" t="s">
        <v>38</v>
      </c>
      <c r="N1" s="14" t="s">
        <v>39</v>
      </c>
      <c r="O1" s="14" t="s">
        <v>40</v>
      </c>
    </row>
    <row r="2" spans="1:15" ht="35" customHeight="1" x14ac:dyDescent="0.35">
      <c r="A2" s="15" t="s">
        <v>41</v>
      </c>
      <c r="B2" s="15" t="s">
        <v>17</v>
      </c>
      <c r="C2" s="15" t="s">
        <v>42</v>
      </c>
      <c r="D2" s="15" t="s">
        <v>43</v>
      </c>
      <c r="E2" s="16" t="s">
        <v>12</v>
      </c>
      <c r="F2" s="15" t="s">
        <v>44</v>
      </c>
      <c r="G2" s="15" t="s">
        <v>45</v>
      </c>
      <c r="H2" s="15" t="s">
        <v>46</v>
      </c>
      <c r="I2" s="15" t="s">
        <v>47</v>
      </c>
      <c r="J2" s="15" t="s">
        <v>48</v>
      </c>
      <c r="K2" s="15" t="s">
        <v>49</v>
      </c>
      <c r="L2" s="15" t="s">
        <v>50</v>
      </c>
      <c r="M2" s="15" t="s">
        <v>21</v>
      </c>
      <c r="N2" s="15"/>
      <c r="O2" s="15"/>
    </row>
    <row r="3" spans="1:15" ht="46.25" customHeight="1" x14ac:dyDescent="0.35">
      <c r="A3" s="15" t="s">
        <v>51</v>
      </c>
      <c r="B3" s="15" t="s">
        <v>17</v>
      </c>
      <c r="C3" s="15" t="s">
        <v>52</v>
      </c>
      <c r="D3" s="15" t="s">
        <v>53</v>
      </c>
      <c r="E3" s="16" t="s">
        <v>12</v>
      </c>
      <c r="F3" s="15" t="s">
        <v>54</v>
      </c>
      <c r="G3" s="15" t="s">
        <v>55</v>
      </c>
      <c r="H3" s="15" t="s">
        <v>56</v>
      </c>
      <c r="I3" s="15" t="s">
        <v>57</v>
      </c>
      <c r="J3" s="15" t="s">
        <v>58</v>
      </c>
      <c r="K3" s="15" t="s">
        <v>49</v>
      </c>
      <c r="L3" s="15" t="s">
        <v>59</v>
      </c>
      <c r="M3" s="15" t="s">
        <v>21</v>
      </c>
      <c r="N3" s="15"/>
      <c r="O3" s="15"/>
    </row>
    <row r="4" spans="1:15" ht="23.9" customHeight="1" x14ac:dyDescent="0.35">
      <c r="A4" s="15" t="s">
        <v>60</v>
      </c>
      <c r="B4" s="15" t="s">
        <v>17</v>
      </c>
      <c r="C4" s="15" t="s">
        <v>61</v>
      </c>
      <c r="D4" s="15" t="s">
        <v>62</v>
      </c>
      <c r="E4" s="16" t="s">
        <v>12</v>
      </c>
      <c r="F4" s="15" t="s">
        <v>44</v>
      </c>
      <c r="G4" s="15" t="s">
        <v>63</v>
      </c>
      <c r="H4" s="15" t="s">
        <v>46</v>
      </c>
      <c r="I4" s="15" t="s">
        <v>64</v>
      </c>
      <c r="J4" s="15" t="s">
        <v>65</v>
      </c>
      <c r="K4" s="15" t="s">
        <v>49</v>
      </c>
      <c r="L4" s="15" t="s">
        <v>66</v>
      </c>
      <c r="M4" s="15" t="s">
        <v>21</v>
      </c>
      <c r="N4" s="15"/>
      <c r="O4" s="15"/>
    </row>
    <row r="5" spans="1:15" ht="46.25" customHeight="1" x14ac:dyDescent="0.35">
      <c r="A5" s="15" t="s">
        <v>67</v>
      </c>
      <c r="B5" s="15" t="s">
        <v>17</v>
      </c>
      <c r="C5" s="15" t="s">
        <v>61</v>
      </c>
      <c r="D5" s="15" t="s">
        <v>68</v>
      </c>
      <c r="E5" s="16" t="s">
        <v>12</v>
      </c>
      <c r="F5" s="15" t="s">
        <v>69</v>
      </c>
      <c r="G5" s="15" t="s">
        <v>63</v>
      </c>
      <c r="H5" s="15" t="s">
        <v>46</v>
      </c>
      <c r="I5" s="15" t="s">
        <v>70</v>
      </c>
      <c r="J5" s="15" t="s">
        <v>71</v>
      </c>
      <c r="K5" s="15" t="s">
        <v>49</v>
      </c>
      <c r="L5" s="15" t="s">
        <v>66</v>
      </c>
      <c r="M5" s="15" t="s">
        <v>21</v>
      </c>
      <c r="N5" s="15"/>
      <c r="O5" s="15"/>
    </row>
    <row r="6" spans="1:15" ht="35" customHeight="1" x14ac:dyDescent="0.35">
      <c r="A6" s="15" t="s">
        <v>72</v>
      </c>
      <c r="B6" s="15" t="s">
        <v>17</v>
      </c>
      <c r="C6" s="15" t="s">
        <v>73</v>
      </c>
      <c r="D6" s="15" t="s">
        <v>74</v>
      </c>
      <c r="E6" s="16" t="s">
        <v>12</v>
      </c>
      <c r="F6" s="15" t="s">
        <v>54</v>
      </c>
      <c r="G6" s="15" t="s">
        <v>75</v>
      </c>
      <c r="H6" s="15" t="s">
        <v>46</v>
      </c>
      <c r="I6" s="15" t="s">
        <v>76</v>
      </c>
      <c r="J6" s="15" t="s">
        <v>77</v>
      </c>
      <c r="K6" s="15" t="s">
        <v>49</v>
      </c>
      <c r="L6" s="15" t="s">
        <v>66</v>
      </c>
      <c r="M6" s="15" t="s">
        <v>21</v>
      </c>
      <c r="N6" s="15"/>
      <c r="O6" s="15"/>
    </row>
    <row r="7" spans="1:15" ht="35" customHeight="1" x14ac:dyDescent="0.35">
      <c r="A7" s="15" t="s">
        <v>78</v>
      </c>
      <c r="B7" s="15" t="s">
        <v>17</v>
      </c>
      <c r="C7" s="15" t="s">
        <v>42</v>
      </c>
      <c r="D7" s="15" t="s">
        <v>79</v>
      </c>
      <c r="E7" s="16" t="s">
        <v>12</v>
      </c>
      <c r="F7" s="15" t="s">
        <v>80</v>
      </c>
      <c r="G7" s="15" t="s">
        <v>45</v>
      </c>
      <c r="H7" s="15" t="s">
        <v>56</v>
      </c>
      <c r="I7" s="15" t="s">
        <v>81</v>
      </c>
      <c r="J7" s="15" t="s">
        <v>82</v>
      </c>
      <c r="K7" s="15" t="s">
        <v>49</v>
      </c>
      <c r="L7" s="15" t="s">
        <v>50</v>
      </c>
      <c r="M7" s="15" t="s">
        <v>21</v>
      </c>
      <c r="N7" s="15"/>
      <c r="O7" s="15"/>
    </row>
    <row r="8" spans="1:15" ht="35" customHeight="1" x14ac:dyDescent="0.35">
      <c r="A8" s="15" t="s">
        <v>83</v>
      </c>
      <c r="B8" s="15" t="s">
        <v>17</v>
      </c>
      <c r="C8" s="15" t="s">
        <v>42</v>
      </c>
      <c r="D8" s="15" t="s">
        <v>84</v>
      </c>
      <c r="E8" s="16" t="s">
        <v>12</v>
      </c>
      <c r="F8" s="15" t="s">
        <v>69</v>
      </c>
      <c r="G8" s="15" t="s">
        <v>45</v>
      </c>
      <c r="H8" s="15" t="s">
        <v>85</v>
      </c>
      <c r="I8" s="15" t="s">
        <v>86</v>
      </c>
      <c r="J8" s="15" t="s">
        <v>87</v>
      </c>
      <c r="K8" s="15" t="s">
        <v>49</v>
      </c>
      <c r="L8" s="15" t="s">
        <v>50</v>
      </c>
      <c r="M8" s="15" t="s">
        <v>21</v>
      </c>
      <c r="N8" s="15"/>
      <c r="O8" s="15"/>
    </row>
    <row r="9" spans="1:15" ht="35" customHeight="1" x14ac:dyDescent="0.35">
      <c r="A9" s="15" t="s">
        <v>88</v>
      </c>
      <c r="B9" s="15" t="s">
        <v>17</v>
      </c>
      <c r="C9" s="15" t="s">
        <v>52</v>
      </c>
      <c r="D9" s="15" t="s">
        <v>89</v>
      </c>
      <c r="E9" s="17" t="s">
        <v>14</v>
      </c>
      <c r="F9" s="15" t="s">
        <v>69</v>
      </c>
      <c r="G9" s="15" t="s">
        <v>90</v>
      </c>
      <c r="H9" s="15" t="s">
        <v>91</v>
      </c>
      <c r="I9" s="15" t="s">
        <v>92</v>
      </c>
      <c r="J9" s="15" t="s">
        <v>93</v>
      </c>
      <c r="K9" s="15" t="s">
        <v>49</v>
      </c>
      <c r="L9" s="15" t="s">
        <v>59</v>
      </c>
      <c r="M9" s="15" t="s">
        <v>21</v>
      </c>
      <c r="N9" s="15"/>
      <c r="O9" s="15" t="s">
        <v>94</v>
      </c>
    </row>
    <row r="10" spans="1:15" ht="46.25" customHeight="1" x14ac:dyDescent="0.35">
      <c r="A10" s="15" t="s">
        <v>95</v>
      </c>
      <c r="B10" s="15" t="s">
        <v>17</v>
      </c>
      <c r="C10" s="15" t="s">
        <v>52</v>
      </c>
      <c r="D10" s="15" t="s">
        <v>96</v>
      </c>
      <c r="E10" s="17" t="s">
        <v>14</v>
      </c>
      <c r="F10" s="15" t="s">
        <v>69</v>
      </c>
      <c r="G10" s="15" t="s">
        <v>55</v>
      </c>
      <c r="H10" s="15" t="s">
        <v>97</v>
      </c>
      <c r="I10" s="15" t="s">
        <v>98</v>
      </c>
      <c r="J10" s="15" t="s">
        <v>99</v>
      </c>
      <c r="K10" s="15" t="s">
        <v>49</v>
      </c>
      <c r="L10" s="15" t="s">
        <v>100</v>
      </c>
      <c r="M10" s="15" t="s">
        <v>21</v>
      </c>
      <c r="N10" s="15"/>
      <c r="O10" s="15" t="s">
        <v>101</v>
      </c>
    </row>
    <row r="11" spans="1:15" ht="35" customHeight="1" x14ac:dyDescent="0.35">
      <c r="A11" s="15" t="s">
        <v>102</v>
      </c>
      <c r="B11" s="15" t="s">
        <v>17</v>
      </c>
      <c r="C11" s="15" t="s">
        <v>103</v>
      </c>
      <c r="D11" s="15" t="s">
        <v>104</v>
      </c>
      <c r="E11" s="18" t="s">
        <v>13</v>
      </c>
      <c r="F11" s="15" t="s">
        <v>44</v>
      </c>
      <c r="G11" s="15" t="s">
        <v>45</v>
      </c>
      <c r="H11" s="15" t="s">
        <v>105</v>
      </c>
      <c r="I11" s="15" t="s">
        <v>106</v>
      </c>
      <c r="J11" s="15" t="s">
        <v>107</v>
      </c>
      <c r="K11" s="15" t="s">
        <v>49</v>
      </c>
      <c r="L11" s="15" t="s">
        <v>108</v>
      </c>
      <c r="M11" s="15" t="s">
        <v>21</v>
      </c>
      <c r="N11" s="15"/>
      <c r="O11" s="15"/>
    </row>
    <row r="12" spans="1:15" ht="35" customHeight="1" x14ac:dyDescent="0.35">
      <c r="A12" s="15" t="s">
        <v>109</v>
      </c>
      <c r="B12" s="15" t="s">
        <v>17</v>
      </c>
      <c r="C12" s="15" t="s">
        <v>103</v>
      </c>
      <c r="D12" s="15" t="s">
        <v>110</v>
      </c>
      <c r="E12" s="18" t="s">
        <v>13</v>
      </c>
      <c r="F12" s="15" t="s">
        <v>44</v>
      </c>
      <c r="G12" s="15" t="s">
        <v>45</v>
      </c>
      <c r="H12" s="15" t="s">
        <v>111</v>
      </c>
      <c r="I12" s="15" t="s">
        <v>112</v>
      </c>
      <c r="J12" s="15" t="s">
        <v>107</v>
      </c>
      <c r="K12" s="15" t="s">
        <v>49</v>
      </c>
      <c r="L12" s="15" t="s">
        <v>108</v>
      </c>
      <c r="M12" s="15" t="s">
        <v>21</v>
      </c>
      <c r="N12" s="15"/>
      <c r="O12" s="15"/>
    </row>
    <row r="13" spans="1:15" ht="35" customHeight="1" x14ac:dyDescent="0.35">
      <c r="A13" s="15" t="s">
        <v>113</v>
      </c>
      <c r="B13" s="15" t="s">
        <v>17</v>
      </c>
      <c r="C13" s="15" t="s">
        <v>103</v>
      </c>
      <c r="D13" s="15" t="s">
        <v>114</v>
      </c>
      <c r="E13" s="18" t="s">
        <v>13</v>
      </c>
      <c r="F13" s="15" t="s">
        <v>44</v>
      </c>
      <c r="G13" s="15" t="s">
        <v>45</v>
      </c>
      <c r="H13" s="15" t="s">
        <v>115</v>
      </c>
      <c r="I13" s="15" t="s">
        <v>116</v>
      </c>
      <c r="J13" s="15" t="s">
        <v>107</v>
      </c>
      <c r="K13" s="15" t="s">
        <v>49</v>
      </c>
      <c r="L13" s="15" t="s">
        <v>108</v>
      </c>
      <c r="M13" s="15" t="s">
        <v>21</v>
      </c>
      <c r="N13" s="15"/>
      <c r="O13" s="15"/>
    </row>
    <row r="14" spans="1:15" ht="46.25" customHeight="1" x14ac:dyDescent="0.35">
      <c r="A14" s="15" t="s">
        <v>117</v>
      </c>
      <c r="B14" s="15" t="s">
        <v>17</v>
      </c>
      <c r="C14" s="15" t="s">
        <v>52</v>
      </c>
      <c r="D14" s="15" t="s">
        <v>118</v>
      </c>
      <c r="E14" s="18" t="s">
        <v>13</v>
      </c>
      <c r="F14" s="15" t="s">
        <v>54</v>
      </c>
      <c r="G14" s="15" t="s">
        <v>55</v>
      </c>
      <c r="H14" s="15" t="s">
        <v>119</v>
      </c>
      <c r="I14" s="15" t="s">
        <v>120</v>
      </c>
      <c r="J14" s="15" t="s">
        <v>121</v>
      </c>
      <c r="K14" s="15" t="s">
        <v>122</v>
      </c>
      <c r="L14" s="15" t="s">
        <v>123</v>
      </c>
      <c r="M14" s="15" t="s">
        <v>21</v>
      </c>
      <c r="N14" s="15"/>
      <c r="O14" s="15"/>
    </row>
    <row r="15" spans="1:15" ht="35" customHeight="1" x14ac:dyDescent="0.35">
      <c r="A15" s="15" t="s">
        <v>124</v>
      </c>
      <c r="B15" s="15" t="s">
        <v>17</v>
      </c>
      <c r="C15" s="15" t="s">
        <v>52</v>
      </c>
      <c r="D15" s="15" t="s">
        <v>125</v>
      </c>
      <c r="E15" s="18" t="s">
        <v>13</v>
      </c>
      <c r="F15" s="15" t="s">
        <v>54</v>
      </c>
      <c r="G15" s="15" t="s">
        <v>45</v>
      </c>
      <c r="H15" s="15" t="s">
        <v>126</v>
      </c>
      <c r="I15" s="15" t="s">
        <v>127</v>
      </c>
      <c r="J15" s="15" t="s">
        <v>128</v>
      </c>
      <c r="K15" s="15" t="s">
        <v>122</v>
      </c>
      <c r="L15" s="15" t="s">
        <v>123</v>
      </c>
      <c r="M15" s="15" t="s">
        <v>21</v>
      </c>
      <c r="N15" s="15"/>
      <c r="O15" s="15"/>
    </row>
    <row r="16" spans="1:15" ht="46.25" customHeight="1" x14ac:dyDescent="0.35">
      <c r="A16" s="15" t="s">
        <v>129</v>
      </c>
      <c r="B16" s="15" t="s">
        <v>17</v>
      </c>
      <c r="C16" s="15" t="s">
        <v>52</v>
      </c>
      <c r="D16" s="15" t="s">
        <v>130</v>
      </c>
      <c r="E16" s="18" t="s">
        <v>13</v>
      </c>
      <c r="F16" s="15" t="s">
        <v>44</v>
      </c>
      <c r="G16" s="15" t="s">
        <v>55</v>
      </c>
      <c r="H16" s="15" t="s">
        <v>131</v>
      </c>
      <c r="I16" s="15" t="s">
        <v>132</v>
      </c>
      <c r="J16" s="15" t="s">
        <v>121</v>
      </c>
      <c r="K16" s="15" t="s">
        <v>49</v>
      </c>
      <c r="L16" s="15" t="s">
        <v>59</v>
      </c>
      <c r="M16" s="15" t="s">
        <v>21</v>
      </c>
      <c r="N16" s="15"/>
      <c r="O16" s="15"/>
    </row>
    <row r="17" spans="1:15" ht="35" customHeight="1" x14ac:dyDescent="0.35">
      <c r="A17" s="15" t="s">
        <v>133</v>
      </c>
      <c r="B17" s="15" t="s">
        <v>17</v>
      </c>
      <c r="C17" s="15" t="s">
        <v>103</v>
      </c>
      <c r="D17" s="15" t="s">
        <v>134</v>
      </c>
      <c r="E17" s="18" t="s">
        <v>13</v>
      </c>
      <c r="F17" s="15" t="s">
        <v>69</v>
      </c>
      <c r="G17" s="15" t="s">
        <v>45</v>
      </c>
      <c r="H17" s="15" t="s">
        <v>135</v>
      </c>
      <c r="I17" s="15" t="s">
        <v>136</v>
      </c>
      <c r="J17" s="15" t="s">
        <v>137</v>
      </c>
      <c r="K17" s="15" t="s">
        <v>49</v>
      </c>
      <c r="L17" s="15" t="s">
        <v>108</v>
      </c>
      <c r="M17" s="19" t="s">
        <v>22</v>
      </c>
      <c r="N17" s="15" t="s">
        <v>138</v>
      </c>
      <c r="O17" s="15"/>
    </row>
    <row r="18" spans="1:15" ht="35" customHeight="1" x14ac:dyDescent="0.35">
      <c r="A18" s="15" t="s">
        <v>139</v>
      </c>
      <c r="B18" s="15" t="s">
        <v>17</v>
      </c>
      <c r="C18" s="15" t="s">
        <v>140</v>
      </c>
      <c r="D18" s="15" t="s">
        <v>141</v>
      </c>
      <c r="E18" s="18" t="s">
        <v>13</v>
      </c>
      <c r="F18" s="15" t="s">
        <v>44</v>
      </c>
      <c r="G18" s="15" t="s">
        <v>45</v>
      </c>
      <c r="H18" s="15" t="s">
        <v>142</v>
      </c>
      <c r="I18" s="15" t="s">
        <v>143</v>
      </c>
      <c r="J18" s="15" t="s">
        <v>144</v>
      </c>
      <c r="K18" s="15" t="s">
        <v>49</v>
      </c>
      <c r="L18" s="15" t="s">
        <v>100</v>
      </c>
      <c r="M18" s="15" t="s">
        <v>21</v>
      </c>
      <c r="N18" s="15"/>
      <c r="O18" s="15"/>
    </row>
    <row r="19" spans="1:15" ht="35" customHeight="1" x14ac:dyDescent="0.35">
      <c r="A19" s="15" t="s">
        <v>145</v>
      </c>
      <c r="B19" s="15" t="s">
        <v>17</v>
      </c>
      <c r="C19" s="15" t="s">
        <v>140</v>
      </c>
      <c r="D19" s="15" t="s">
        <v>146</v>
      </c>
      <c r="E19" s="18" t="s">
        <v>13</v>
      </c>
      <c r="F19" s="15" t="s">
        <v>44</v>
      </c>
      <c r="G19" s="15" t="s">
        <v>45</v>
      </c>
      <c r="H19" s="15" t="s">
        <v>147</v>
      </c>
      <c r="I19" s="15" t="s">
        <v>148</v>
      </c>
      <c r="J19" s="15" t="s">
        <v>149</v>
      </c>
      <c r="K19" s="15" t="s">
        <v>49</v>
      </c>
      <c r="L19" s="15" t="s">
        <v>100</v>
      </c>
      <c r="M19" s="15" t="s">
        <v>21</v>
      </c>
      <c r="N19" s="15"/>
      <c r="O19" s="15"/>
    </row>
    <row r="20" spans="1:15" ht="46.25" customHeight="1" x14ac:dyDescent="0.35">
      <c r="A20" s="15" t="s">
        <v>150</v>
      </c>
      <c r="B20" s="15" t="s">
        <v>17</v>
      </c>
      <c r="C20" s="15" t="s">
        <v>52</v>
      </c>
      <c r="D20" s="15" t="s">
        <v>151</v>
      </c>
      <c r="E20" s="17" t="s">
        <v>14</v>
      </c>
      <c r="F20" s="15" t="s">
        <v>69</v>
      </c>
      <c r="G20" s="15" t="s">
        <v>55</v>
      </c>
      <c r="H20" s="15" t="s">
        <v>152</v>
      </c>
      <c r="I20" s="15" t="s">
        <v>153</v>
      </c>
      <c r="J20" s="15" t="s">
        <v>154</v>
      </c>
      <c r="K20" s="15" t="s">
        <v>49</v>
      </c>
      <c r="L20" s="15" t="s">
        <v>59</v>
      </c>
      <c r="M20" s="15" t="s">
        <v>21</v>
      </c>
      <c r="N20" s="15"/>
      <c r="O20" s="15" t="s">
        <v>155</v>
      </c>
    </row>
    <row r="21" spans="1:15" ht="46.25" customHeight="1" x14ac:dyDescent="0.35">
      <c r="A21" s="15" t="s">
        <v>156</v>
      </c>
      <c r="B21" s="15" t="s">
        <v>17</v>
      </c>
      <c r="C21" s="15" t="s">
        <v>52</v>
      </c>
      <c r="D21" s="15" t="s">
        <v>157</v>
      </c>
      <c r="E21" s="17" t="s">
        <v>14</v>
      </c>
      <c r="F21" s="15" t="s">
        <v>69</v>
      </c>
      <c r="G21" s="15" t="s">
        <v>55</v>
      </c>
      <c r="H21" s="15" t="s">
        <v>158</v>
      </c>
      <c r="I21" s="15" t="s">
        <v>159</v>
      </c>
      <c r="J21" s="15" t="s">
        <v>160</v>
      </c>
      <c r="K21" s="15" t="s">
        <v>49</v>
      </c>
      <c r="L21" s="15" t="s">
        <v>59</v>
      </c>
      <c r="M21" s="15" t="s">
        <v>21</v>
      </c>
      <c r="N21" s="15"/>
      <c r="O21" s="15" t="s">
        <v>161</v>
      </c>
    </row>
    <row r="22" spans="1:15" ht="35" customHeight="1" x14ac:dyDescent="0.35">
      <c r="A22" s="15" t="s">
        <v>162</v>
      </c>
      <c r="B22" s="15" t="s">
        <v>17</v>
      </c>
      <c r="C22" s="15" t="s">
        <v>103</v>
      </c>
      <c r="D22" s="15" t="s">
        <v>163</v>
      </c>
      <c r="E22" s="17" t="s">
        <v>14</v>
      </c>
      <c r="F22" s="15" t="s">
        <v>80</v>
      </c>
      <c r="G22" s="15" t="s">
        <v>45</v>
      </c>
      <c r="H22" s="15" t="s">
        <v>164</v>
      </c>
      <c r="I22" s="15" t="s">
        <v>165</v>
      </c>
      <c r="J22" s="15" t="s">
        <v>166</v>
      </c>
      <c r="K22" s="15" t="s">
        <v>49</v>
      </c>
      <c r="L22" s="15" t="s">
        <v>108</v>
      </c>
      <c r="M22" s="19" t="s">
        <v>22</v>
      </c>
      <c r="N22" s="15" t="s">
        <v>167</v>
      </c>
      <c r="O22" s="15"/>
    </row>
    <row r="23" spans="1:15" ht="46.25" customHeight="1" x14ac:dyDescent="0.35">
      <c r="A23" s="15" t="s">
        <v>168</v>
      </c>
      <c r="B23" s="15" t="s">
        <v>17</v>
      </c>
      <c r="C23" s="15" t="s">
        <v>52</v>
      </c>
      <c r="D23" s="15" t="s">
        <v>169</v>
      </c>
      <c r="E23" s="17" t="s">
        <v>14</v>
      </c>
      <c r="F23" s="15" t="s">
        <v>80</v>
      </c>
      <c r="G23" s="15" t="s">
        <v>55</v>
      </c>
      <c r="H23" s="15" t="s">
        <v>97</v>
      </c>
      <c r="I23" s="15" t="s">
        <v>170</v>
      </c>
      <c r="J23" s="15" t="s">
        <v>171</v>
      </c>
      <c r="K23" s="15" t="s">
        <v>49</v>
      </c>
      <c r="L23" s="15" t="s">
        <v>59</v>
      </c>
      <c r="M23" s="15" t="s">
        <v>21</v>
      </c>
      <c r="N23" s="15"/>
      <c r="O23" s="15"/>
    </row>
    <row r="24" spans="1:15" ht="23.9" customHeight="1" x14ac:dyDescent="0.35">
      <c r="A24" s="15" t="s">
        <v>172</v>
      </c>
      <c r="B24" s="15" t="s">
        <v>17</v>
      </c>
      <c r="C24" s="15" t="s">
        <v>61</v>
      </c>
      <c r="D24" s="15" t="s">
        <v>173</v>
      </c>
      <c r="E24" s="17" t="s">
        <v>14</v>
      </c>
      <c r="F24" s="15" t="s">
        <v>69</v>
      </c>
      <c r="G24" s="15" t="s">
        <v>174</v>
      </c>
      <c r="H24" s="15" t="s">
        <v>46</v>
      </c>
      <c r="I24" s="15" t="s">
        <v>175</v>
      </c>
      <c r="J24" s="15" t="s">
        <v>176</v>
      </c>
      <c r="K24" s="15" t="s">
        <v>49</v>
      </c>
      <c r="L24" s="15" t="s">
        <v>66</v>
      </c>
      <c r="M24" s="15" t="s">
        <v>21</v>
      </c>
      <c r="N24" s="15"/>
      <c r="O24" s="15"/>
    </row>
    <row r="25" spans="1:15" ht="46.25" customHeight="1" x14ac:dyDescent="0.35">
      <c r="A25" s="15" t="s">
        <v>177</v>
      </c>
      <c r="B25" s="15" t="s">
        <v>17</v>
      </c>
      <c r="C25" s="15" t="s">
        <v>61</v>
      </c>
      <c r="D25" s="15" t="s">
        <v>178</v>
      </c>
      <c r="E25" s="16" t="s">
        <v>12</v>
      </c>
      <c r="F25" s="15" t="s">
        <v>69</v>
      </c>
      <c r="G25" s="15" t="s">
        <v>55</v>
      </c>
      <c r="H25" s="15" t="s">
        <v>97</v>
      </c>
      <c r="I25" s="15" t="s">
        <v>179</v>
      </c>
      <c r="J25" s="15" t="s">
        <v>180</v>
      </c>
      <c r="K25" s="15" t="s">
        <v>49</v>
      </c>
      <c r="L25" s="15" t="s">
        <v>66</v>
      </c>
      <c r="M25" s="15" t="s">
        <v>21</v>
      </c>
      <c r="N25" s="15"/>
      <c r="O25" s="15"/>
    </row>
    <row r="26" spans="1:15" ht="23.9" customHeight="1" x14ac:dyDescent="0.35">
      <c r="A26" s="15" t="s">
        <v>181</v>
      </c>
      <c r="B26" s="15" t="s">
        <v>17</v>
      </c>
      <c r="C26" s="15" t="s">
        <v>182</v>
      </c>
      <c r="D26" s="15" t="s">
        <v>183</v>
      </c>
      <c r="E26" s="16" t="s">
        <v>12</v>
      </c>
      <c r="F26" s="15" t="s">
        <v>54</v>
      </c>
      <c r="G26" s="15" t="s">
        <v>184</v>
      </c>
      <c r="H26" s="15" t="s">
        <v>185</v>
      </c>
      <c r="I26" s="15" t="s">
        <v>186</v>
      </c>
      <c r="J26" s="15" t="s">
        <v>187</v>
      </c>
      <c r="K26" s="15" t="s">
        <v>182</v>
      </c>
      <c r="L26" s="15" t="s">
        <v>188</v>
      </c>
      <c r="M26" s="15" t="s">
        <v>21</v>
      </c>
      <c r="N26" s="15"/>
      <c r="O26" s="15"/>
    </row>
  </sheetData>
  <autoFilter ref="A1:O26" xr:uid="{00000000-0009-0000-0000-000001000000}"/>
  <conditionalFormatting sqref="M2:M26">
    <cfRule type="cellIs" dxfId="128" priority="2" operator="equal">
      <formula>"Pass"</formula>
    </cfRule>
  </conditionalFormatting>
  <conditionalFormatting sqref="M2:M26">
    <cfRule type="cellIs" dxfId="127" priority="3" operator="equal">
      <formula>"Fail"</formula>
    </cfRule>
  </conditionalFormatting>
  <conditionalFormatting sqref="M2:M26">
    <cfRule type="cellIs" dxfId="126" priority="4" operator="equal">
      <formula>"Blocked"</formula>
    </cfRule>
  </conditionalFormatting>
  <conditionalFormatting sqref="M18">
    <cfRule type="cellIs" dxfId="125" priority="5" operator="equal">
      <formula>"Pass"</formula>
    </cfRule>
  </conditionalFormatting>
  <conditionalFormatting sqref="M18">
    <cfRule type="cellIs" dxfId="124" priority="6" operator="equal">
      <formula>"Fail"</formula>
    </cfRule>
  </conditionalFormatting>
  <conditionalFormatting sqref="M18">
    <cfRule type="cellIs" dxfId="123" priority="7" operator="equal">
      <formula>"Blocked"</formula>
    </cfRule>
  </conditionalFormatting>
  <conditionalFormatting sqref="M19">
    <cfRule type="cellIs" dxfId="122" priority="8" operator="equal">
      <formula>"Pass"</formula>
    </cfRule>
  </conditionalFormatting>
  <conditionalFormatting sqref="M19">
    <cfRule type="cellIs" dxfId="121" priority="9" operator="equal">
      <formula>"Fail"</formula>
    </cfRule>
  </conditionalFormatting>
  <conditionalFormatting sqref="M19">
    <cfRule type="cellIs" dxfId="120" priority="10" operator="equal">
      <formula>"Blocked"</formula>
    </cfRule>
  </conditionalFormatting>
  <conditionalFormatting sqref="M19">
    <cfRule type="cellIs" dxfId="119" priority="11" operator="equal">
      <formula>"Pass"</formula>
    </cfRule>
  </conditionalFormatting>
  <conditionalFormatting sqref="M19">
    <cfRule type="cellIs" dxfId="118" priority="12" operator="equal">
      <formula>"Fail"</formula>
    </cfRule>
  </conditionalFormatting>
  <conditionalFormatting sqref="M19">
    <cfRule type="cellIs" dxfId="117" priority="13" operator="equal">
      <formula>"Blocked"</formula>
    </cfRule>
  </conditionalFormatting>
  <conditionalFormatting sqref="M20">
    <cfRule type="cellIs" dxfId="116" priority="14" operator="equal">
      <formula>"Pass"</formula>
    </cfRule>
  </conditionalFormatting>
  <conditionalFormatting sqref="M20">
    <cfRule type="cellIs" dxfId="115" priority="15" operator="equal">
      <formula>"Fail"</formula>
    </cfRule>
  </conditionalFormatting>
  <conditionalFormatting sqref="M20">
    <cfRule type="cellIs" dxfId="114" priority="16" operator="equal">
      <formula>"Blocked"</formula>
    </cfRule>
  </conditionalFormatting>
  <conditionalFormatting sqref="M20">
    <cfRule type="cellIs" dxfId="113" priority="17" operator="equal">
      <formula>"Pass"</formula>
    </cfRule>
  </conditionalFormatting>
  <conditionalFormatting sqref="M20">
    <cfRule type="cellIs" dxfId="112" priority="18" operator="equal">
      <formula>"Fail"</formula>
    </cfRule>
  </conditionalFormatting>
  <conditionalFormatting sqref="M20">
    <cfRule type="cellIs" dxfId="111" priority="19" operator="equal">
      <formula>"Blocked"</formula>
    </cfRule>
  </conditionalFormatting>
  <conditionalFormatting sqref="M20">
    <cfRule type="cellIs" dxfId="110" priority="20" operator="equal">
      <formula>"Pass"</formula>
    </cfRule>
  </conditionalFormatting>
  <conditionalFormatting sqref="M20">
    <cfRule type="cellIs" dxfId="109" priority="21" operator="equal">
      <formula>"Fail"</formula>
    </cfRule>
  </conditionalFormatting>
  <conditionalFormatting sqref="M20">
    <cfRule type="cellIs" dxfId="108" priority="22" operator="equal">
      <formula>"Blocked"</formula>
    </cfRule>
  </conditionalFormatting>
  <conditionalFormatting sqref="M21">
    <cfRule type="cellIs" dxfId="107" priority="23" operator="equal">
      <formula>"Pass"</formula>
    </cfRule>
  </conditionalFormatting>
  <conditionalFormatting sqref="M21">
    <cfRule type="cellIs" dxfId="106" priority="24" operator="equal">
      <formula>"Fail"</formula>
    </cfRule>
  </conditionalFormatting>
  <conditionalFormatting sqref="M21">
    <cfRule type="cellIs" dxfId="105" priority="25" operator="equal">
      <formula>"Blocked"</formula>
    </cfRule>
  </conditionalFormatting>
  <conditionalFormatting sqref="M21">
    <cfRule type="cellIs" dxfId="104" priority="26" operator="equal">
      <formula>"Pass"</formula>
    </cfRule>
  </conditionalFormatting>
  <conditionalFormatting sqref="M21">
    <cfRule type="cellIs" dxfId="103" priority="27" operator="equal">
      <formula>"Fail"</formula>
    </cfRule>
  </conditionalFormatting>
  <conditionalFormatting sqref="M21">
    <cfRule type="cellIs" dxfId="102" priority="28" operator="equal">
      <formula>"Blocked"</formula>
    </cfRule>
  </conditionalFormatting>
  <conditionalFormatting sqref="M21">
    <cfRule type="cellIs" dxfId="101" priority="29" operator="equal">
      <formula>"Pass"</formula>
    </cfRule>
  </conditionalFormatting>
  <conditionalFormatting sqref="M21">
    <cfRule type="cellIs" dxfId="100" priority="30" operator="equal">
      <formula>"Fail"</formula>
    </cfRule>
  </conditionalFormatting>
  <conditionalFormatting sqref="M21">
    <cfRule type="cellIs" dxfId="99" priority="31" operator="equal">
      <formula>"Blocked"</formula>
    </cfRule>
  </conditionalFormatting>
  <conditionalFormatting sqref="M21">
    <cfRule type="cellIs" dxfId="98" priority="32" operator="equal">
      <formula>"Pass"</formula>
    </cfRule>
  </conditionalFormatting>
  <conditionalFormatting sqref="M21">
    <cfRule type="cellIs" dxfId="97" priority="33" operator="equal">
      <formula>"Fail"</formula>
    </cfRule>
  </conditionalFormatting>
  <conditionalFormatting sqref="M21">
    <cfRule type="cellIs" dxfId="96" priority="34" operator="equal">
      <formula>"Blocked"</formula>
    </cfRule>
  </conditionalFormatting>
  <conditionalFormatting sqref="M22">
    <cfRule type="cellIs" dxfId="95" priority="35" operator="equal">
      <formula>"Pass"</formula>
    </cfRule>
  </conditionalFormatting>
  <conditionalFormatting sqref="M22">
    <cfRule type="cellIs" dxfId="94" priority="36" operator="equal">
      <formula>"Fail"</formula>
    </cfRule>
  </conditionalFormatting>
  <conditionalFormatting sqref="M22">
    <cfRule type="cellIs" dxfId="93" priority="37" operator="equal">
      <formula>"Blocked"</formula>
    </cfRule>
  </conditionalFormatting>
  <conditionalFormatting sqref="M23">
    <cfRule type="cellIs" dxfId="92" priority="38" operator="equal">
      <formula>"Pass"</formula>
    </cfRule>
  </conditionalFormatting>
  <conditionalFormatting sqref="M23">
    <cfRule type="cellIs" dxfId="91" priority="39" operator="equal">
      <formula>"Fail"</formula>
    </cfRule>
  </conditionalFormatting>
  <conditionalFormatting sqref="M23">
    <cfRule type="cellIs" dxfId="90" priority="40" operator="equal">
      <formula>"Blocked"</formula>
    </cfRule>
  </conditionalFormatting>
  <conditionalFormatting sqref="M23">
    <cfRule type="cellIs" dxfId="89" priority="41" operator="equal">
      <formula>"Pass"</formula>
    </cfRule>
  </conditionalFormatting>
  <conditionalFormatting sqref="M23">
    <cfRule type="cellIs" dxfId="88" priority="42" operator="equal">
      <formula>"Fail"</formula>
    </cfRule>
  </conditionalFormatting>
  <conditionalFormatting sqref="M23">
    <cfRule type="cellIs" dxfId="87" priority="43" operator="equal">
      <formula>"Blocked"</formula>
    </cfRule>
  </conditionalFormatting>
  <conditionalFormatting sqref="M23">
    <cfRule type="cellIs" dxfId="86" priority="44" operator="equal">
      <formula>"Pass"</formula>
    </cfRule>
  </conditionalFormatting>
  <conditionalFormatting sqref="M23">
    <cfRule type="cellIs" dxfId="85" priority="45" operator="equal">
      <formula>"Fail"</formula>
    </cfRule>
  </conditionalFormatting>
  <conditionalFormatting sqref="M23">
    <cfRule type="cellIs" dxfId="84" priority="46" operator="equal">
      <formula>"Blocked"</formula>
    </cfRule>
  </conditionalFormatting>
  <conditionalFormatting sqref="M23">
    <cfRule type="cellIs" dxfId="83" priority="47" operator="equal">
      <formula>"Pass"</formula>
    </cfRule>
  </conditionalFormatting>
  <conditionalFormatting sqref="M23">
    <cfRule type="cellIs" dxfId="82" priority="48" operator="equal">
      <formula>"Fail"</formula>
    </cfRule>
  </conditionalFormatting>
  <conditionalFormatting sqref="M23">
    <cfRule type="cellIs" dxfId="81" priority="49" operator="equal">
      <formula>"Blocked"</formula>
    </cfRule>
  </conditionalFormatting>
  <conditionalFormatting sqref="M23">
    <cfRule type="cellIs" dxfId="80" priority="50" operator="equal">
      <formula>"Pass"</formula>
    </cfRule>
  </conditionalFormatting>
  <conditionalFormatting sqref="M23">
    <cfRule type="cellIs" dxfId="79" priority="51" operator="equal">
      <formula>"Fail"</formula>
    </cfRule>
  </conditionalFormatting>
  <conditionalFormatting sqref="M23">
    <cfRule type="cellIs" dxfId="78" priority="52" operator="equal">
      <formula>"Blocked"</formula>
    </cfRule>
  </conditionalFormatting>
  <conditionalFormatting sqref="M24">
    <cfRule type="cellIs" dxfId="77" priority="53" operator="equal">
      <formula>"Pass"</formula>
    </cfRule>
  </conditionalFormatting>
  <conditionalFormatting sqref="M24">
    <cfRule type="cellIs" dxfId="76" priority="54" operator="equal">
      <formula>"Fail"</formula>
    </cfRule>
  </conditionalFormatting>
  <conditionalFormatting sqref="M24">
    <cfRule type="cellIs" dxfId="75" priority="55" operator="equal">
      <formula>"Blocked"</formula>
    </cfRule>
  </conditionalFormatting>
  <conditionalFormatting sqref="M24">
    <cfRule type="cellIs" dxfId="74" priority="56" operator="equal">
      <formula>"Pass"</formula>
    </cfRule>
  </conditionalFormatting>
  <conditionalFormatting sqref="M24">
    <cfRule type="cellIs" dxfId="73" priority="57" operator="equal">
      <formula>"Fail"</formula>
    </cfRule>
  </conditionalFormatting>
  <conditionalFormatting sqref="M24">
    <cfRule type="cellIs" dxfId="72" priority="58" operator="equal">
      <formula>"Blocked"</formula>
    </cfRule>
  </conditionalFormatting>
  <conditionalFormatting sqref="M24">
    <cfRule type="cellIs" dxfId="71" priority="59" operator="equal">
      <formula>"Pass"</formula>
    </cfRule>
  </conditionalFormatting>
  <conditionalFormatting sqref="M24">
    <cfRule type="cellIs" dxfId="70" priority="60" operator="equal">
      <formula>"Fail"</formula>
    </cfRule>
  </conditionalFormatting>
  <conditionalFormatting sqref="M24">
    <cfRule type="cellIs" dxfId="69" priority="61" operator="equal">
      <formula>"Blocked"</formula>
    </cfRule>
  </conditionalFormatting>
  <conditionalFormatting sqref="M24">
    <cfRule type="cellIs" dxfId="68" priority="62" operator="equal">
      <formula>"Pass"</formula>
    </cfRule>
  </conditionalFormatting>
  <conditionalFormatting sqref="M24">
    <cfRule type="cellIs" dxfId="67" priority="63" operator="equal">
      <formula>"Fail"</formula>
    </cfRule>
  </conditionalFormatting>
  <conditionalFormatting sqref="M24">
    <cfRule type="cellIs" dxfId="66" priority="64" operator="equal">
      <formula>"Blocked"</formula>
    </cfRule>
  </conditionalFormatting>
  <conditionalFormatting sqref="M24">
    <cfRule type="cellIs" dxfId="65" priority="65" operator="equal">
      <formula>"Pass"</formula>
    </cfRule>
  </conditionalFormatting>
  <conditionalFormatting sqref="M24">
    <cfRule type="cellIs" dxfId="64" priority="66" operator="equal">
      <formula>"Fail"</formula>
    </cfRule>
  </conditionalFormatting>
  <conditionalFormatting sqref="M24">
    <cfRule type="cellIs" dxfId="63" priority="67" operator="equal">
      <formula>"Blocked"</formula>
    </cfRule>
  </conditionalFormatting>
  <conditionalFormatting sqref="M24">
    <cfRule type="cellIs" dxfId="62" priority="68" operator="equal">
      <formula>"Pass"</formula>
    </cfRule>
  </conditionalFormatting>
  <conditionalFormatting sqref="M24">
    <cfRule type="cellIs" dxfId="61" priority="69" operator="equal">
      <formula>"Fail"</formula>
    </cfRule>
  </conditionalFormatting>
  <conditionalFormatting sqref="M24">
    <cfRule type="cellIs" dxfId="60" priority="70" operator="equal">
      <formula>"Blocked"</formula>
    </cfRule>
  </conditionalFormatting>
  <conditionalFormatting sqref="M25">
    <cfRule type="cellIs" dxfId="59" priority="71" operator="equal">
      <formula>"Pass"</formula>
    </cfRule>
  </conditionalFormatting>
  <conditionalFormatting sqref="M25">
    <cfRule type="cellIs" dxfId="58" priority="72" operator="equal">
      <formula>"Fail"</formula>
    </cfRule>
  </conditionalFormatting>
  <conditionalFormatting sqref="M25">
    <cfRule type="cellIs" dxfId="57" priority="73" operator="equal">
      <formula>"Blocked"</formula>
    </cfRule>
  </conditionalFormatting>
  <conditionalFormatting sqref="M25">
    <cfRule type="cellIs" dxfId="56" priority="74" operator="equal">
      <formula>"Pass"</formula>
    </cfRule>
  </conditionalFormatting>
  <conditionalFormatting sqref="M25">
    <cfRule type="cellIs" dxfId="55" priority="75" operator="equal">
      <formula>"Fail"</formula>
    </cfRule>
  </conditionalFormatting>
  <conditionalFormatting sqref="M25">
    <cfRule type="cellIs" dxfId="54" priority="76" operator="equal">
      <formula>"Blocked"</formula>
    </cfRule>
  </conditionalFormatting>
  <conditionalFormatting sqref="M25">
    <cfRule type="cellIs" dxfId="53" priority="77" operator="equal">
      <formula>"Pass"</formula>
    </cfRule>
  </conditionalFormatting>
  <conditionalFormatting sqref="M25">
    <cfRule type="cellIs" dxfId="52" priority="78" operator="equal">
      <formula>"Fail"</formula>
    </cfRule>
  </conditionalFormatting>
  <conditionalFormatting sqref="M25">
    <cfRule type="cellIs" dxfId="51" priority="79" operator="equal">
      <formula>"Blocked"</formula>
    </cfRule>
  </conditionalFormatting>
  <conditionalFormatting sqref="M25">
    <cfRule type="cellIs" dxfId="50" priority="80" operator="equal">
      <formula>"Pass"</formula>
    </cfRule>
  </conditionalFormatting>
  <conditionalFormatting sqref="M25">
    <cfRule type="cellIs" dxfId="49" priority="81" operator="equal">
      <formula>"Fail"</formula>
    </cfRule>
  </conditionalFormatting>
  <conditionalFormatting sqref="M25">
    <cfRule type="cellIs" dxfId="48" priority="82" operator="equal">
      <formula>"Blocked"</formula>
    </cfRule>
  </conditionalFormatting>
  <conditionalFormatting sqref="M25">
    <cfRule type="cellIs" dxfId="47" priority="83" operator="equal">
      <formula>"Pass"</formula>
    </cfRule>
  </conditionalFormatting>
  <conditionalFormatting sqref="M25">
    <cfRule type="cellIs" dxfId="46" priority="84" operator="equal">
      <formula>"Fail"</formula>
    </cfRule>
  </conditionalFormatting>
  <conditionalFormatting sqref="M25">
    <cfRule type="cellIs" dxfId="45" priority="85" operator="equal">
      <formula>"Blocked"</formula>
    </cfRule>
  </conditionalFormatting>
  <conditionalFormatting sqref="M25">
    <cfRule type="cellIs" dxfId="44" priority="86" operator="equal">
      <formula>"Pass"</formula>
    </cfRule>
  </conditionalFormatting>
  <conditionalFormatting sqref="M25">
    <cfRule type="cellIs" dxfId="43" priority="87" operator="equal">
      <formula>"Fail"</formula>
    </cfRule>
  </conditionalFormatting>
  <conditionalFormatting sqref="M25">
    <cfRule type="cellIs" dxfId="42" priority="88" operator="equal">
      <formula>"Blocked"</formula>
    </cfRule>
  </conditionalFormatting>
  <conditionalFormatting sqref="M25">
    <cfRule type="cellIs" dxfId="41" priority="89" operator="equal">
      <formula>"Pass"</formula>
    </cfRule>
  </conditionalFormatting>
  <conditionalFormatting sqref="M25">
    <cfRule type="cellIs" dxfId="40" priority="90" operator="equal">
      <formula>"Fail"</formula>
    </cfRule>
  </conditionalFormatting>
  <conditionalFormatting sqref="M25">
    <cfRule type="cellIs" dxfId="39" priority="91" operator="equal">
      <formula>"Blocked"</formula>
    </cfRule>
  </conditionalFormatting>
  <conditionalFormatting sqref="M26">
    <cfRule type="cellIs" dxfId="38" priority="92" operator="equal">
      <formula>"Pass"</formula>
    </cfRule>
  </conditionalFormatting>
  <conditionalFormatting sqref="M26">
    <cfRule type="cellIs" dxfId="37" priority="93" operator="equal">
      <formula>"Fail"</formula>
    </cfRule>
  </conditionalFormatting>
  <conditionalFormatting sqref="M26">
    <cfRule type="cellIs" dxfId="36" priority="94" operator="equal">
      <formula>"Blocked"</formula>
    </cfRule>
  </conditionalFormatting>
  <conditionalFormatting sqref="M26">
    <cfRule type="cellIs" dxfId="35" priority="95" operator="equal">
      <formula>"Pass"</formula>
    </cfRule>
  </conditionalFormatting>
  <conditionalFormatting sqref="M26">
    <cfRule type="cellIs" dxfId="34" priority="96" operator="equal">
      <formula>"Fail"</formula>
    </cfRule>
  </conditionalFormatting>
  <conditionalFormatting sqref="M26">
    <cfRule type="cellIs" dxfId="33" priority="97" operator="equal">
      <formula>"Blocked"</formula>
    </cfRule>
  </conditionalFormatting>
  <conditionalFormatting sqref="M26">
    <cfRule type="cellIs" dxfId="32" priority="98" operator="equal">
      <formula>"Pass"</formula>
    </cfRule>
  </conditionalFormatting>
  <conditionalFormatting sqref="M26">
    <cfRule type="cellIs" dxfId="31" priority="99" operator="equal">
      <formula>"Fail"</formula>
    </cfRule>
  </conditionalFormatting>
  <conditionalFormatting sqref="M26">
    <cfRule type="cellIs" dxfId="30" priority="100" operator="equal">
      <formula>"Blocked"</formula>
    </cfRule>
  </conditionalFormatting>
  <conditionalFormatting sqref="M26">
    <cfRule type="cellIs" dxfId="29" priority="101" operator="equal">
      <formula>"Pass"</formula>
    </cfRule>
  </conditionalFormatting>
  <conditionalFormatting sqref="M26">
    <cfRule type="cellIs" dxfId="28" priority="102" operator="equal">
      <formula>"Fail"</formula>
    </cfRule>
  </conditionalFormatting>
  <conditionalFormatting sqref="M26">
    <cfRule type="cellIs" dxfId="27" priority="103" operator="equal">
      <formula>"Blocked"</formula>
    </cfRule>
  </conditionalFormatting>
  <conditionalFormatting sqref="M26">
    <cfRule type="cellIs" dxfId="26" priority="104" operator="equal">
      <formula>"Pass"</formula>
    </cfRule>
  </conditionalFormatting>
  <conditionalFormatting sqref="M26">
    <cfRule type="cellIs" dxfId="25" priority="105" operator="equal">
      <formula>"Fail"</formula>
    </cfRule>
  </conditionalFormatting>
  <conditionalFormatting sqref="M26">
    <cfRule type="cellIs" dxfId="24" priority="106" operator="equal">
      <formula>"Blocked"</formula>
    </cfRule>
  </conditionalFormatting>
  <conditionalFormatting sqref="M26">
    <cfRule type="cellIs" dxfId="23" priority="107" operator="equal">
      <formula>"Pass"</formula>
    </cfRule>
  </conditionalFormatting>
  <conditionalFormatting sqref="M26">
    <cfRule type="cellIs" dxfId="22" priority="108" operator="equal">
      <formula>"Fail"</formula>
    </cfRule>
  </conditionalFormatting>
  <conditionalFormatting sqref="M26">
    <cfRule type="cellIs" dxfId="21" priority="109" operator="equal">
      <formula>"Blocked"</formula>
    </cfRule>
  </conditionalFormatting>
  <conditionalFormatting sqref="M26">
    <cfRule type="cellIs" dxfId="20" priority="110" operator="equal">
      <formula>"Pass"</formula>
    </cfRule>
  </conditionalFormatting>
  <conditionalFormatting sqref="M26">
    <cfRule type="cellIs" dxfId="19" priority="111" operator="equal">
      <formula>"Fail"</formula>
    </cfRule>
  </conditionalFormatting>
  <conditionalFormatting sqref="M26">
    <cfRule type="cellIs" dxfId="18" priority="112" operator="equal">
      <formula>"Blocked"</formula>
    </cfRule>
  </conditionalFormatting>
  <conditionalFormatting sqref="M26">
    <cfRule type="cellIs" dxfId="17" priority="113" operator="equal">
      <formula>"Pass"</formula>
    </cfRule>
  </conditionalFormatting>
  <conditionalFormatting sqref="M26">
    <cfRule type="cellIs" dxfId="16" priority="114" operator="equal">
      <formula>"Fail"</formula>
    </cfRule>
  </conditionalFormatting>
  <conditionalFormatting sqref="M26">
    <cfRule type="cellIs" dxfId="15" priority="115" operator="equal">
      <formula>"Blocked"</formula>
    </cfRule>
  </conditionalFormatting>
  <dataValidations count="1">
    <dataValidation type="list" allowBlank="1" sqref="M2:M16 M23:M26 M18:M21" xr:uid="{7D526BDB-C970-4102-88CF-19C2D028DEC3}">
      <formula1>"Not Run,Pass,Fail,Blocked,Skipped"</formula1>
      <formula2>0</formula2>
    </dataValidation>
  </dataValidations>
  <pageMargins left="0.75" right="0.75" top="1" bottom="1" header="0.51181102362204689" footer="0.5118110236220468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workbookViewId="0">
      <pane xSplit="4" ySplit="1" topLeftCell="E2" activePane="bottomRight" state="frozen"/>
      <selection activeCell="M18" sqref="M18:M19"/>
      <selection pane="topRight"/>
      <selection pane="bottomLeft"/>
      <selection pane="bottomRight" activeCell="E2" sqref="E2"/>
    </sheetView>
  </sheetViews>
  <sheetFormatPr defaultColWidth="8.6328125" defaultRowHeight="14.5" x14ac:dyDescent="0.35"/>
  <cols>
    <col min="1" max="1" width="10" style="1" customWidth="1"/>
    <col min="2" max="2" width="9" style="1" customWidth="1"/>
    <col min="3" max="3" width="16" style="1" customWidth="1"/>
    <col min="4" max="4" width="38" style="1" customWidth="1"/>
    <col min="5" max="5" width="11" style="1" customWidth="1"/>
    <col min="6" max="6" width="9" style="1" customWidth="1"/>
    <col min="7" max="8" width="30" style="1" customWidth="1"/>
    <col min="9" max="10" width="52" style="1" customWidth="1"/>
    <col min="11" max="11" width="11" style="1" customWidth="1"/>
    <col min="12" max="12" width="34" style="1" customWidth="1"/>
    <col min="13" max="13" width="11" style="1" customWidth="1"/>
    <col min="14" max="14" width="28" style="1" customWidth="1"/>
    <col min="15" max="15" width="34" style="1" customWidth="1"/>
  </cols>
  <sheetData>
    <row r="1" spans="1:15" ht="23.9" customHeight="1" x14ac:dyDescent="0.35">
      <c r="A1" s="14" t="s">
        <v>27</v>
      </c>
      <c r="B1" s="14" t="s">
        <v>11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14" t="s">
        <v>36</v>
      </c>
      <c r="L1" s="14" t="s">
        <v>37</v>
      </c>
      <c r="M1" s="14" t="s">
        <v>38</v>
      </c>
      <c r="N1" s="14" t="s">
        <v>39</v>
      </c>
      <c r="O1" s="14" t="s">
        <v>40</v>
      </c>
    </row>
    <row r="2" spans="1:15" ht="46.25" customHeight="1" x14ac:dyDescent="0.35">
      <c r="A2" s="15" t="s">
        <v>189</v>
      </c>
      <c r="B2" s="15" t="s">
        <v>18</v>
      </c>
      <c r="C2" s="15" t="s">
        <v>190</v>
      </c>
      <c r="D2" s="15" t="s">
        <v>191</v>
      </c>
      <c r="E2" s="16" t="s">
        <v>12</v>
      </c>
      <c r="F2" s="15" t="s">
        <v>54</v>
      </c>
      <c r="G2" s="15" t="s">
        <v>45</v>
      </c>
      <c r="H2" s="15" t="s">
        <v>192</v>
      </c>
      <c r="I2" s="15" t="s">
        <v>193</v>
      </c>
      <c r="J2" s="15" t="s">
        <v>194</v>
      </c>
      <c r="K2" s="15" t="s">
        <v>49</v>
      </c>
      <c r="L2" s="15" t="s">
        <v>195</v>
      </c>
      <c r="M2" s="15" t="s">
        <v>21</v>
      </c>
      <c r="N2" s="15"/>
      <c r="O2" s="15"/>
    </row>
    <row r="3" spans="1:15" ht="46.25" customHeight="1" x14ac:dyDescent="0.35">
      <c r="A3" s="15" t="s">
        <v>196</v>
      </c>
      <c r="B3" s="15" t="s">
        <v>18</v>
      </c>
      <c r="C3" s="15" t="s">
        <v>190</v>
      </c>
      <c r="D3" s="15" t="s">
        <v>197</v>
      </c>
      <c r="E3" s="16" t="s">
        <v>12</v>
      </c>
      <c r="F3" s="15" t="s">
        <v>54</v>
      </c>
      <c r="G3" s="15" t="s">
        <v>198</v>
      </c>
      <c r="H3" s="15" t="s">
        <v>199</v>
      </c>
      <c r="I3" s="15" t="s">
        <v>200</v>
      </c>
      <c r="J3" s="15" t="s">
        <v>201</v>
      </c>
      <c r="K3" s="15" t="s">
        <v>49</v>
      </c>
      <c r="L3" s="15" t="s">
        <v>195</v>
      </c>
      <c r="M3" s="15" t="s">
        <v>21</v>
      </c>
      <c r="N3" s="15"/>
      <c r="O3" s="15"/>
    </row>
    <row r="4" spans="1:15" ht="35" customHeight="1" x14ac:dyDescent="0.35">
      <c r="A4" s="15" t="s">
        <v>202</v>
      </c>
      <c r="B4" s="15" t="s">
        <v>18</v>
      </c>
      <c r="C4" s="15" t="s">
        <v>190</v>
      </c>
      <c r="D4" s="15" t="s">
        <v>203</v>
      </c>
      <c r="E4" s="16" t="s">
        <v>12</v>
      </c>
      <c r="F4" s="15" t="s">
        <v>44</v>
      </c>
      <c r="G4" s="15" t="s">
        <v>45</v>
      </c>
      <c r="H4" s="15" t="s">
        <v>204</v>
      </c>
      <c r="I4" s="15" t="s">
        <v>205</v>
      </c>
      <c r="J4" s="15" t="s">
        <v>206</v>
      </c>
      <c r="K4" s="15" t="s">
        <v>49</v>
      </c>
      <c r="L4" s="15" t="s">
        <v>195</v>
      </c>
      <c r="M4" s="15" t="s">
        <v>21</v>
      </c>
      <c r="N4" s="15"/>
      <c r="O4" s="15"/>
    </row>
    <row r="5" spans="1:15" ht="35" customHeight="1" x14ac:dyDescent="0.35">
      <c r="A5" s="15" t="s">
        <v>207</v>
      </c>
      <c r="B5" s="15" t="s">
        <v>18</v>
      </c>
      <c r="C5" s="15" t="s">
        <v>190</v>
      </c>
      <c r="D5" s="15" t="s">
        <v>208</v>
      </c>
      <c r="E5" s="17" t="s">
        <v>14</v>
      </c>
      <c r="F5" s="15" t="s">
        <v>44</v>
      </c>
      <c r="G5" s="15" t="s">
        <v>45</v>
      </c>
      <c r="H5" s="15" t="s">
        <v>209</v>
      </c>
      <c r="I5" s="15" t="s">
        <v>210</v>
      </c>
      <c r="J5" s="15" t="s">
        <v>211</v>
      </c>
      <c r="K5" s="15" t="s">
        <v>49</v>
      </c>
      <c r="L5" s="15" t="s">
        <v>195</v>
      </c>
      <c r="M5" s="15" t="s">
        <v>21</v>
      </c>
      <c r="N5" s="15"/>
      <c r="O5" s="15" t="s">
        <v>212</v>
      </c>
    </row>
    <row r="6" spans="1:15" ht="23.9" customHeight="1" x14ac:dyDescent="0.35">
      <c r="A6" s="15" t="s">
        <v>213</v>
      </c>
      <c r="B6" s="15" t="s">
        <v>18</v>
      </c>
      <c r="C6" s="15" t="s">
        <v>214</v>
      </c>
      <c r="D6" s="15" t="s">
        <v>215</v>
      </c>
      <c r="E6" s="16" t="s">
        <v>12</v>
      </c>
      <c r="F6" s="15" t="s">
        <v>54</v>
      </c>
      <c r="G6" s="15" t="s">
        <v>216</v>
      </c>
      <c r="H6" s="15" t="s">
        <v>46</v>
      </c>
      <c r="I6" s="15" t="s">
        <v>217</v>
      </c>
      <c r="J6" s="15" t="s">
        <v>218</v>
      </c>
      <c r="K6" s="15" t="s">
        <v>49</v>
      </c>
      <c r="L6" s="15" t="s">
        <v>219</v>
      </c>
      <c r="M6" s="15" t="s">
        <v>21</v>
      </c>
      <c r="N6" s="15"/>
      <c r="O6" s="15"/>
    </row>
    <row r="7" spans="1:15" ht="23.9" customHeight="1" x14ac:dyDescent="0.35">
      <c r="A7" s="15" t="s">
        <v>220</v>
      </c>
      <c r="B7" s="15" t="s">
        <v>18</v>
      </c>
      <c r="C7" s="15" t="s">
        <v>214</v>
      </c>
      <c r="D7" s="15" t="s">
        <v>221</v>
      </c>
      <c r="E7" s="16" t="s">
        <v>12</v>
      </c>
      <c r="F7" s="15" t="s">
        <v>44</v>
      </c>
      <c r="G7" s="15" t="s">
        <v>216</v>
      </c>
      <c r="H7" s="15" t="s">
        <v>46</v>
      </c>
      <c r="I7" s="15" t="s">
        <v>222</v>
      </c>
      <c r="J7" s="15" t="s">
        <v>223</v>
      </c>
      <c r="K7" s="15" t="s">
        <v>49</v>
      </c>
      <c r="L7" s="15" t="s">
        <v>219</v>
      </c>
      <c r="M7" s="15" t="s">
        <v>21</v>
      </c>
      <c r="N7" s="15"/>
      <c r="O7" s="15"/>
    </row>
    <row r="8" spans="1:15" ht="23.9" customHeight="1" x14ac:dyDescent="0.35">
      <c r="A8" s="15" t="s">
        <v>224</v>
      </c>
      <c r="B8" s="15" t="s">
        <v>18</v>
      </c>
      <c r="C8" s="15" t="s">
        <v>225</v>
      </c>
      <c r="D8" s="15" t="s">
        <v>226</v>
      </c>
      <c r="E8" s="16" t="s">
        <v>12</v>
      </c>
      <c r="F8" s="15" t="s">
        <v>44</v>
      </c>
      <c r="G8" s="15" t="s">
        <v>227</v>
      </c>
      <c r="H8" s="15" t="s">
        <v>46</v>
      </c>
      <c r="I8" s="15" t="s">
        <v>228</v>
      </c>
      <c r="J8" s="15" t="s">
        <v>229</v>
      </c>
      <c r="K8" s="15" t="s">
        <v>49</v>
      </c>
      <c r="L8" s="15" t="s">
        <v>230</v>
      </c>
      <c r="M8" s="15" t="s">
        <v>21</v>
      </c>
      <c r="N8" s="15"/>
      <c r="O8" s="15"/>
    </row>
    <row r="9" spans="1:15" ht="57.5" customHeight="1" x14ac:dyDescent="0.35">
      <c r="A9" s="15" t="s">
        <v>231</v>
      </c>
      <c r="B9" s="15" t="s">
        <v>18</v>
      </c>
      <c r="C9" s="15" t="s">
        <v>225</v>
      </c>
      <c r="D9" s="15" t="s">
        <v>232</v>
      </c>
      <c r="E9" s="16" t="s">
        <v>12</v>
      </c>
      <c r="F9" s="15" t="s">
        <v>44</v>
      </c>
      <c r="G9" s="15" t="s">
        <v>198</v>
      </c>
      <c r="H9" s="15" t="s">
        <v>233</v>
      </c>
      <c r="I9" s="15" t="s">
        <v>234</v>
      </c>
      <c r="J9" s="15" t="s">
        <v>235</v>
      </c>
      <c r="K9" s="15" t="s">
        <v>49</v>
      </c>
      <c r="L9" s="15" t="s">
        <v>230</v>
      </c>
      <c r="M9" s="15" t="s">
        <v>21</v>
      </c>
      <c r="N9" s="15"/>
      <c r="O9" s="15"/>
    </row>
    <row r="10" spans="1:15" ht="35" customHeight="1" x14ac:dyDescent="0.35">
      <c r="A10" s="15" t="s">
        <v>236</v>
      </c>
      <c r="B10" s="15" t="s">
        <v>18</v>
      </c>
      <c r="C10" s="15" t="s">
        <v>237</v>
      </c>
      <c r="D10" s="15" t="s">
        <v>238</v>
      </c>
      <c r="E10" s="16" t="s">
        <v>12</v>
      </c>
      <c r="F10" s="15" t="s">
        <v>80</v>
      </c>
      <c r="G10" s="15" t="s">
        <v>239</v>
      </c>
      <c r="H10" s="15" t="s">
        <v>46</v>
      </c>
      <c r="I10" s="15" t="s">
        <v>240</v>
      </c>
      <c r="J10" s="15" t="s">
        <v>241</v>
      </c>
      <c r="K10" s="15" t="s">
        <v>49</v>
      </c>
      <c r="L10" s="15" t="s">
        <v>242</v>
      </c>
      <c r="M10" s="15" t="s">
        <v>21</v>
      </c>
      <c r="N10" s="15"/>
      <c r="O10" s="15"/>
    </row>
    <row r="11" spans="1:15" ht="35" customHeight="1" x14ac:dyDescent="0.35">
      <c r="A11" s="15" t="s">
        <v>243</v>
      </c>
      <c r="B11" s="15" t="s">
        <v>18</v>
      </c>
      <c r="C11" s="15" t="s">
        <v>237</v>
      </c>
      <c r="D11" s="15" t="s">
        <v>244</v>
      </c>
      <c r="E11" s="16" t="s">
        <v>12</v>
      </c>
      <c r="F11" s="15" t="s">
        <v>44</v>
      </c>
      <c r="G11" s="15" t="s">
        <v>45</v>
      </c>
      <c r="H11" s="15" t="s">
        <v>245</v>
      </c>
      <c r="I11" s="15" t="s">
        <v>246</v>
      </c>
      <c r="J11" s="15" t="s">
        <v>247</v>
      </c>
      <c r="K11" s="15" t="s">
        <v>49</v>
      </c>
      <c r="L11" s="15" t="s">
        <v>242</v>
      </c>
      <c r="M11" s="15" t="s">
        <v>21</v>
      </c>
      <c r="N11" s="15"/>
      <c r="O11" s="15"/>
    </row>
    <row r="12" spans="1:15" ht="35" customHeight="1" x14ac:dyDescent="0.35">
      <c r="A12" s="15" t="s">
        <v>248</v>
      </c>
      <c r="B12" s="15" t="s">
        <v>18</v>
      </c>
      <c r="C12" s="15" t="s">
        <v>237</v>
      </c>
      <c r="D12" s="15" t="s">
        <v>249</v>
      </c>
      <c r="E12" s="16" t="s">
        <v>12</v>
      </c>
      <c r="F12" s="15" t="s">
        <v>69</v>
      </c>
      <c r="G12" s="15" t="s">
        <v>45</v>
      </c>
      <c r="H12" s="15" t="s">
        <v>250</v>
      </c>
      <c r="I12" s="15" t="s">
        <v>251</v>
      </c>
      <c r="J12" s="15" t="s">
        <v>252</v>
      </c>
      <c r="K12" s="15" t="s">
        <v>49</v>
      </c>
      <c r="L12" s="15" t="s">
        <v>242</v>
      </c>
      <c r="M12" s="15" t="s">
        <v>21</v>
      </c>
      <c r="N12" s="15"/>
      <c r="O12" s="15"/>
    </row>
    <row r="13" spans="1:15" ht="23.9" customHeight="1" x14ac:dyDescent="0.35">
      <c r="A13" s="15" t="s">
        <v>253</v>
      </c>
      <c r="B13" s="15" t="s">
        <v>18</v>
      </c>
      <c r="C13" s="15" t="s">
        <v>254</v>
      </c>
      <c r="D13" s="15" t="s">
        <v>255</v>
      </c>
      <c r="E13" s="18" t="s">
        <v>13</v>
      </c>
      <c r="F13" s="15" t="s">
        <v>44</v>
      </c>
      <c r="G13" s="15" t="s">
        <v>256</v>
      </c>
      <c r="H13" s="15" t="s">
        <v>233</v>
      </c>
      <c r="I13" s="15" t="s">
        <v>257</v>
      </c>
      <c r="J13" s="15" t="s">
        <v>258</v>
      </c>
      <c r="K13" s="15" t="s">
        <v>122</v>
      </c>
      <c r="L13" s="15" t="s">
        <v>259</v>
      </c>
      <c r="M13" s="15" t="s">
        <v>21</v>
      </c>
      <c r="N13" s="15"/>
      <c r="O13" s="15"/>
    </row>
    <row r="14" spans="1:15" ht="23.9" customHeight="1" x14ac:dyDescent="0.35">
      <c r="A14" s="15" t="s">
        <v>260</v>
      </c>
      <c r="B14" s="15" t="s">
        <v>18</v>
      </c>
      <c r="C14" s="15" t="s">
        <v>254</v>
      </c>
      <c r="D14" s="15" t="s">
        <v>261</v>
      </c>
      <c r="E14" s="18" t="s">
        <v>13</v>
      </c>
      <c r="F14" s="15" t="s">
        <v>54</v>
      </c>
      <c r="G14" s="15" t="s">
        <v>262</v>
      </c>
      <c r="H14" s="15" t="s">
        <v>263</v>
      </c>
      <c r="I14" s="15" t="s">
        <v>264</v>
      </c>
      <c r="J14" s="15" t="s">
        <v>265</v>
      </c>
      <c r="K14" s="15" t="s">
        <v>182</v>
      </c>
      <c r="L14" s="15" t="s">
        <v>266</v>
      </c>
      <c r="M14" s="15" t="s">
        <v>21</v>
      </c>
      <c r="N14" s="15"/>
      <c r="O14" s="15"/>
    </row>
    <row r="15" spans="1:15" ht="23.9" customHeight="1" x14ac:dyDescent="0.35">
      <c r="A15" s="15" t="s">
        <v>267</v>
      </c>
      <c r="B15" s="15" t="s">
        <v>18</v>
      </c>
      <c r="C15" s="15" t="s">
        <v>214</v>
      </c>
      <c r="D15" s="15" t="s">
        <v>268</v>
      </c>
      <c r="E15" s="18" t="s">
        <v>13</v>
      </c>
      <c r="F15" s="15" t="s">
        <v>69</v>
      </c>
      <c r="G15" s="15" t="s">
        <v>239</v>
      </c>
      <c r="H15" s="15" t="s">
        <v>269</v>
      </c>
      <c r="I15" s="15" t="s">
        <v>270</v>
      </c>
      <c r="J15" s="15" t="s">
        <v>271</v>
      </c>
      <c r="K15" s="15" t="s">
        <v>182</v>
      </c>
      <c r="L15" s="15" t="s">
        <v>266</v>
      </c>
      <c r="M15" s="15" t="s">
        <v>21</v>
      </c>
      <c r="N15" s="15"/>
      <c r="O15" s="15"/>
    </row>
    <row r="16" spans="1:15" ht="35" customHeight="1" x14ac:dyDescent="0.35">
      <c r="A16" s="15" t="s">
        <v>272</v>
      </c>
      <c r="B16" s="15" t="s">
        <v>18</v>
      </c>
      <c r="C16" s="15" t="s">
        <v>190</v>
      </c>
      <c r="D16" s="15" t="s">
        <v>273</v>
      </c>
      <c r="E16" s="17" t="s">
        <v>14</v>
      </c>
      <c r="F16" s="15" t="s">
        <v>69</v>
      </c>
      <c r="G16" s="15" t="s">
        <v>45</v>
      </c>
      <c r="H16" s="15" t="s">
        <v>274</v>
      </c>
      <c r="I16" s="15" t="s">
        <v>275</v>
      </c>
      <c r="J16" s="15" t="s">
        <v>276</v>
      </c>
      <c r="K16" s="15" t="s">
        <v>122</v>
      </c>
      <c r="L16" s="15" t="s">
        <v>195</v>
      </c>
      <c r="M16" s="15" t="s">
        <v>21</v>
      </c>
      <c r="N16" s="15"/>
      <c r="O16" s="15" t="s">
        <v>277</v>
      </c>
    </row>
    <row r="17" spans="1:15" ht="23.9" customHeight="1" x14ac:dyDescent="0.35">
      <c r="A17" s="15" t="s">
        <v>278</v>
      </c>
      <c r="B17" s="15" t="s">
        <v>18</v>
      </c>
      <c r="C17" s="15" t="s">
        <v>214</v>
      </c>
      <c r="D17" s="15" t="s">
        <v>279</v>
      </c>
      <c r="E17" s="17" t="s">
        <v>14</v>
      </c>
      <c r="F17" s="15" t="s">
        <v>69</v>
      </c>
      <c r="G17" s="15" t="s">
        <v>280</v>
      </c>
      <c r="H17" s="15" t="s">
        <v>46</v>
      </c>
      <c r="I17" s="15" t="s">
        <v>281</v>
      </c>
      <c r="J17" s="15" t="s">
        <v>282</v>
      </c>
      <c r="K17" s="15" t="s">
        <v>49</v>
      </c>
      <c r="L17" s="15" t="s">
        <v>219</v>
      </c>
      <c r="M17" s="15" t="s">
        <v>21</v>
      </c>
      <c r="N17" s="15"/>
      <c r="O17" s="15"/>
    </row>
    <row r="18" spans="1:15" ht="35" customHeight="1" x14ac:dyDescent="0.35">
      <c r="A18" s="15" t="s">
        <v>283</v>
      </c>
      <c r="B18" s="15" t="s">
        <v>18</v>
      </c>
      <c r="C18" s="15" t="s">
        <v>190</v>
      </c>
      <c r="D18" s="15" t="s">
        <v>284</v>
      </c>
      <c r="E18" s="17" t="s">
        <v>14</v>
      </c>
      <c r="F18" s="15" t="s">
        <v>80</v>
      </c>
      <c r="G18" s="15" t="s">
        <v>45</v>
      </c>
      <c r="H18" s="15" t="s">
        <v>233</v>
      </c>
      <c r="I18" s="15" t="s">
        <v>285</v>
      </c>
      <c r="J18" s="15" t="s">
        <v>286</v>
      </c>
      <c r="K18" s="15" t="s">
        <v>49</v>
      </c>
      <c r="L18" s="15" t="s">
        <v>195</v>
      </c>
      <c r="M18" s="15" t="s">
        <v>21</v>
      </c>
      <c r="N18" s="15"/>
      <c r="O18" s="15"/>
    </row>
    <row r="19" spans="1:15" ht="46.25" customHeight="1" x14ac:dyDescent="0.35">
      <c r="A19" s="15" t="s">
        <v>287</v>
      </c>
      <c r="B19" s="15" t="s">
        <v>18</v>
      </c>
      <c r="C19" s="15" t="s">
        <v>182</v>
      </c>
      <c r="D19" s="15" t="s">
        <v>288</v>
      </c>
      <c r="E19" s="16" t="s">
        <v>12</v>
      </c>
      <c r="F19" s="15" t="s">
        <v>44</v>
      </c>
      <c r="G19" s="15" t="s">
        <v>289</v>
      </c>
      <c r="H19" s="15" t="s">
        <v>290</v>
      </c>
      <c r="I19" s="15" t="s">
        <v>291</v>
      </c>
      <c r="J19" s="15" t="s">
        <v>292</v>
      </c>
      <c r="K19" s="15" t="s">
        <v>182</v>
      </c>
      <c r="L19" s="15" t="s">
        <v>266</v>
      </c>
      <c r="M19" s="15" t="s">
        <v>21</v>
      </c>
      <c r="N19" s="15"/>
      <c r="O19" s="15"/>
    </row>
    <row r="20" spans="1:15" ht="46.25" customHeight="1" x14ac:dyDescent="0.35"/>
    <row r="21" spans="1:15" ht="35" customHeight="1" x14ac:dyDescent="0.35"/>
    <row r="22" spans="1:15" ht="35" customHeight="1" x14ac:dyDescent="0.35"/>
    <row r="23" spans="1:15" ht="35" customHeight="1" x14ac:dyDescent="0.35"/>
    <row r="24" spans="1:15" ht="23.9" customHeight="1" x14ac:dyDescent="0.35"/>
    <row r="25" spans="1:15" ht="23.9" customHeight="1" x14ac:dyDescent="0.35"/>
    <row r="26" spans="1:15" ht="23.9" customHeight="1" x14ac:dyDescent="0.35"/>
    <row r="27" spans="1:15" ht="35" customHeight="1" x14ac:dyDescent="0.35"/>
    <row r="28" spans="1:15" ht="23.9" customHeight="1" x14ac:dyDescent="0.35"/>
    <row r="29" spans="1:15" ht="35" customHeight="1" x14ac:dyDescent="0.35"/>
    <row r="30" spans="1:15" ht="23.9" customHeight="1" x14ac:dyDescent="0.35"/>
    <row r="31" spans="1:15" ht="23.9" customHeight="1" x14ac:dyDescent="0.35"/>
    <row r="32" spans="1:15" ht="35" customHeight="1" x14ac:dyDescent="0.35"/>
    <row r="33" ht="46.25" customHeight="1" x14ac:dyDescent="0.35"/>
  </sheetData>
  <autoFilter ref="A1:O19" xr:uid="{00000000-0009-0000-0000-000002000000}"/>
  <conditionalFormatting sqref="M2:M19">
    <cfRule type="cellIs" dxfId="14" priority="2" operator="equal">
      <formula>"Pass"</formula>
    </cfRule>
  </conditionalFormatting>
  <conditionalFormatting sqref="M2:M19">
    <cfRule type="cellIs" dxfId="13" priority="3" operator="equal">
      <formula>"Fail"</formula>
    </cfRule>
  </conditionalFormatting>
  <conditionalFormatting sqref="M2:M19">
    <cfRule type="cellIs" dxfId="12" priority="4" operator="equal">
      <formula>"Blocked"</formula>
    </cfRule>
  </conditionalFormatting>
  <conditionalFormatting sqref="M15:M16">
    <cfRule type="cellIs" dxfId="11" priority="5" operator="equal">
      <formula>"Pass"</formula>
    </cfRule>
  </conditionalFormatting>
  <conditionalFormatting sqref="M15:M16">
    <cfRule type="cellIs" dxfId="10" priority="6" operator="equal">
      <formula>"Fail"</formula>
    </cfRule>
  </conditionalFormatting>
  <conditionalFormatting sqref="M15:M16">
    <cfRule type="cellIs" dxfId="9" priority="7" operator="equal">
      <formula>"Blocked"</formula>
    </cfRule>
  </conditionalFormatting>
  <conditionalFormatting sqref="M17:M19">
    <cfRule type="cellIs" dxfId="8" priority="8" operator="equal">
      <formula>"Pass"</formula>
    </cfRule>
  </conditionalFormatting>
  <conditionalFormatting sqref="M17:M19">
    <cfRule type="cellIs" dxfId="7" priority="9" operator="equal">
      <formula>"Fail"</formula>
    </cfRule>
  </conditionalFormatting>
  <conditionalFormatting sqref="M17:M19">
    <cfRule type="cellIs" dxfId="6" priority="10" operator="equal">
      <formula>"Blocked"</formula>
    </cfRule>
  </conditionalFormatting>
  <conditionalFormatting sqref="M17:M19">
    <cfRule type="cellIs" dxfId="5" priority="11" operator="equal">
      <formula>"Pass"</formula>
    </cfRule>
  </conditionalFormatting>
  <conditionalFormatting sqref="M17:M19">
    <cfRule type="cellIs" dxfId="4" priority="12" operator="equal">
      <formula>"Fail"</formula>
    </cfRule>
  </conditionalFormatting>
  <conditionalFormatting sqref="M17:M19">
    <cfRule type="cellIs" dxfId="3" priority="13" operator="equal">
      <formula>"Blocked"</formula>
    </cfRule>
  </conditionalFormatting>
  <dataValidations count="1">
    <dataValidation type="list" allowBlank="1" sqref="M2:M19" xr:uid="{523F2BC9-A78A-4AF6-95EB-35D661DC0BF7}">
      <formula1>"Not Run,Pass,Fail,Blocked,Skipped"</formula1>
    </dataValidation>
  </dataValidations>
  <pageMargins left="0.75" right="0.75" top="1" bottom="1" header="0.51181102362204689" footer="0.51181102362204689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tabSelected="1" workbookViewId="0">
      <pane xSplit="4" ySplit="1" topLeftCell="J8" activePane="bottomRight" state="frozen"/>
      <selection pane="topRight"/>
      <selection pane="bottomLeft"/>
      <selection pane="bottomRight" activeCell="A13" sqref="A13:A15"/>
    </sheetView>
  </sheetViews>
  <sheetFormatPr defaultColWidth="8.6328125" defaultRowHeight="14.5" x14ac:dyDescent="0.35"/>
  <cols>
    <col min="1" max="1" width="10" style="1" customWidth="1"/>
    <col min="2" max="2" width="9" style="1" customWidth="1"/>
    <col min="3" max="3" width="16" style="1" customWidth="1"/>
    <col min="4" max="4" width="38" style="1" customWidth="1"/>
    <col min="5" max="5" width="11" style="1" customWidth="1"/>
    <col min="6" max="6" width="9" style="1" customWidth="1"/>
    <col min="7" max="8" width="30" style="1" customWidth="1"/>
    <col min="9" max="10" width="52" style="1" customWidth="1"/>
    <col min="11" max="11" width="11" style="1" customWidth="1"/>
    <col min="12" max="12" width="34" style="1" customWidth="1"/>
    <col min="13" max="13" width="11" style="1" customWidth="1"/>
    <col min="14" max="14" width="28" style="1" customWidth="1"/>
    <col min="15" max="15" width="34" style="1" customWidth="1"/>
  </cols>
  <sheetData>
    <row r="1" spans="1:15" ht="23.9" customHeight="1" x14ac:dyDescent="0.35">
      <c r="A1" s="14" t="s">
        <v>27</v>
      </c>
      <c r="B1" s="14" t="s">
        <v>11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  <c r="K1" s="14" t="s">
        <v>36</v>
      </c>
      <c r="L1" s="14" t="s">
        <v>37</v>
      </c>
      <c r="M1" s="14" t="s">
        <v>38</v>
      </c>
      <c r="N1" s="14" t="s">
        <v>39</v>
      </c>
      <c r="O1" s="14" t="s">
        <v>40</v>
      </c>
    </row>
    <row r="2" spans="1:15" ht="23.9" customHeight="1" x14ac:dyDescent="0.35">
      <c r="A2" s="15" t="s">
        <v>293</v>
      </c>
      <c r="B2" s="15" t="s">
        <v>19</v>
      </c>
      <c r="C2" s="15" t="s">
        <v>294</v>
      </c>
      <c r="D2" s="20" t="s">
        <v>363</v>
      </c>
      <c r="E2" s="16" t="s">
        <v>12</v>
      </c>
      <c r="F2" s="15" t="s">
        <v>44</v>
      </c>
      <c r="G2" s="15" t="s">
        <v>239</v>
      </c>
      <c r="H2" s="15" t="s">
        <v>46</v>
      </c>
      <c r="I2" s="15" t="s">
        <v>295</v>
      </c>
      <c r="J2" s="15" t="s">
        <v>296</v>
      </c>
      <c r="K2" s="15" t="s">
        <v>49</v>
      </c>
      <c r="L2" s="15" t="s">
        <v>297</v>
      </c>
      <c r="M2" s="15" t="s">
        <v>21</v>
      </c>
      <c r="N2" s="15"/>
      <c r="O2" s="15"/>
    </row>
    <row r="3" spans="1:15" ht="68.650000000000006" customHeight="1" x14ac:dyDescent="0.35">
      <c r="A3" s="15" t="s">
        <v>298</v>
      </c>
      <c r="B3" s="15" t="s">
        <v>19</v>
      </c>
      <c r="C3" s="15" t="s">
        <v>294</v>
      </c>
      <c r="D3" s="15" t="s">
        <v>299</v>
      </c>
      <c r="E3" s="16" t="s">
        <v>12</v>
      </c>
      <c r="F3" s="15" t="s">
        <v>54</v>
      </c>
      <c r="G3" s="15" t="s">
        <v>239</v>
      </c>
      <c r="H3" s="15" t="s">
        <v>300</v>
      </c>
      <c r="I3" s="15" t="s">
        <v>301</v>
      </c>
      <c r="J3" s="15" t="s">
        <v>302</v>
      </c>
      <c r="K3" s="15" t="s">
        <v>49</v>
      </c>
      <c r="L3" s="15" t="s">
        <v>297</v>
      </c>
      <c r="M3" s="15" t="s">
        <v>21</v>
      </c>
      <c r="N3" s="15"/>
      <c r="O3" s="15"/>
    </row>
    <row r="4" spans="1:15" ht="35" customHeight="1" x14ac:dyDescent="0.35">
      <c r="A4" s="15" t="s">
        <v>303</v>
      </c>
      <c r="B4" s="15" t="s">
        <v>19</v>
      </c>
      <c r="C4" s="15" t="s">
        <v>294</v>
      </c>
      <c r="D4" s="15" t="s">
        <v>304</v>
      </c>
      <c r="E4" s="16" t="s">
        <v>12</v>
      </c>
      <c r="F4" s="15" t="s">
        <v>44</v>
      </c>
      <c r="G4" s="15" t="s">
        <v>216</v>
      </c>
      <c r="H4" s="15" t="s">
        <v>305</v>
      </c>
      <c r="I4" s="15" t="s">
        <v>306</v>
      </c>
      <c r="J4" s="15" t="s">
        <v>307</v>
      </c>
      <c r="K4" s="15" t="s">
        <v>49</v>
      </c>
      <c r="L4" s="15" t="s">
        <v>297</v>
      </c>
      <c r="M4" s="15" t="s">
        <v>22</v>
      </c>
      <c r="N4" s="15" t="s">
        <v>364</v>
      </c>
      <c r="O4" s="15"/>
    </row>
    <row r="5" spans="1:15" ht="35" customHeight="1" x14ac:dyDescent="0.35">
      <c r="A5" s="15" t="s">
        <v>308</v>
      </c>
      <c r="B5" s="15" t="s">
        <v>19</v>
      </c>
      <c r="C5" s="15" t="s">
        <v>294</v>
      </c>
      <c r="D5" s="15" t="s">
        <v>309</v>
      </c>
      <c r="E5" s="16" t="s">
        <v>12</v>
      </c>
      <c r="F5" s="15" t="s">
        <v>54</v>
      </c>
      <c r="G5" s="15" t="s">
        <v>239</v>
      </c>
      <c r="H5" s="15" t="s">
        <v>310</v>
      </c>
      <c r="I5" s="15" t="s">
        <v>311</v>
      </c>
      <c r="J5" s="15" t="s">
        <v>312</v>
      </c>
      <c r="K5" s="15" t="s">
        <v>49</v>
      </c>
      <c r="L5" s="15" t="s">
        <v>297</v>
      </c>
      <c r="M5" s="15" t="s">
        <v>21</v>
      </c>
      <c r="N5" s="15"/>
      <c r="O5" s="15" t="s">
        <v>365</v>
      </c>
    </row>
    <row r="6" spans="1:15" ht="23.9" customHeight="1" x14ac:dyDescent="0.35">
      <c r="A6" s="15" t="s">
        <v>313</v>
      </c>
      <c r="B6" s="15" t="s">
        <v>19</v>
      </c>
      <c r="C6" s="15" t="s">
        <v>294</v>
      </c>
      <c r="D6" s="15" t="s">
        <v>314</v>
      </c>
      <c r="E6" s="18" t="s">
        <v>13</v>
      </c>
      <c r="F6" s="15" t="s">
        <v>44</v>
      </c>
      <c r="G6" s="15" t="s">
        <v>239</v>
      </c>
      <c r="H6" s="15" t="s">
        <v>315</v>
      </c>
      <c r="I6" s="15" t="s">
        <v>316</v>
      </c>
      <c r="J6" s="15" t="s">
        <v>317</v>
      </c>
      <c r="K6" s="15" t="s">
        <v>49</v>
      </c>
      <c r="L6" s="15" t="s">
        <v>318</v>
      </c>
      <c r="M6" s="15" t="s">
        <v>21</v>
      </c>
      <c r="N6" s="15"/>
      <c r="O6" s="15"/>
    </row>
    <row r="7" spans="1:15" ht="35" customHeight="1" x14ac:dyDescent="0.35">
      <c r="A7" s="15" t="s">
        <v>319</v>
      </c>
      <c r="B7" s="15" t="s">
        <v>19</v>
      </c>
      <c r="C7" s="15" t="s">
        <v>294</v>
      </c>
      <c r="D7" s="15" t="s">
        <v>320</v>
      </c>
      <c r="E7" s="18" t="s">
        <v>13</v>
      </c>
      <c r="F7" s="15" t="s">
        <v>44</v>
      </c>
      <c r="G7" s="15" t="s">
        <v>239</v>
      </c>
      <c r="H7" s="15" t="s">
        <v>321</v>
      </c>
      <c r="I7" s="15" t="s">
        <v>322</v>
      </c>
      <c r="J7" s="15" t="s">
        <v>323</v>
      </c>
      <c r="K7" s="15" t="s">
        <v>49</v>
      </c>
      <c r="L7" s="15" t="s">
        <v>318</v>
      </c>
      <c r="M7" s="15" t="s">
        <v>21</v>
      </c>
      <c r="N7" s="15"/>
      <c r="O7" s="15"/>
    </row>
    <row r="8" spans="1:15" ht="35" customHeight="1" x14ac:dyDescent="0.35">
      <c r="A8" s="15" t="s">
        <v>324</v>
      </c>
      <c r="B8" s="15" t="s">
        <v>19</v>
      </c>
      <c r="C8" s="15" t="s">
        <v>294</v>
      </c>
      <c r="D8" s="15" t="s">
        <v>325</v>
      </c>
      <c r="E8" s="18" t="s">
        <v>13</v>
      </c>
      <c r="F8" s="15" t="s">
        <v>44</v>
      </c>
      <c r="G8" s="15" t="s">
        <v>239</v>
      </c>
      <c r="H8" s="15" t="s">
        <v>326</v>
      </c>
      <c r="I8" s="15" t="s">
        <v>327</v>
      </c>
      <c r="J8" s="15" t="s">
        <v>323</v>
      </c>
      <c r="K8" s="15" t="s">
        <v>49</v>
      </c>
      <c r="L8" s="15" t="s">
        <v>318</v>
      </c>
      <c r="M8" s="15" t="s">
        <v>21</v>
      </c>
      <c r="N8" s="15"/>
      <c r="O8" s="15"/>
    </row>
    <row r="9" spans="1:15" ht="46.25" customHeight="1" x14ac:dyDescent="0.35">
      <c r="A9" s="15" t="s">
        <v>328</v>
      </c>
      <c r="B9" s="15" t="s">
        <v>19</v>
      </c>
      <c r="C9" s="15" t="s">
        <v>294</v>
      </c>
      <c r="D9" s="15" t="s">
        <v>329</v>
      </c>
      <c r="E9" s="18" t="s">
        <v>13</v>
      </c>
      <c r="F9" s="15" t="s">
        <v>69</v>
      </c>
      <c r="G9" s="15" t="s">
        <v>239</v>
      </c>
      <c r="H9" s="15" t="s">
        <v>310</v>
      </c>
      <c r="I9" s="15" t="s">
        <v>330</v>
      </c>
      <c r="J9" s="15" t="s">
        <v>331</v>
      </c>
      <c r="K9" s="15" t="s">
        <v>49</v>
      </c>
      <c r="L9" s="15" t="s">
        <v>297</v>
      </c>
      <c r="M9" s="15" t="s">
        <v>21</v>
      </c>
      <c r="N9" s="15"/>
      <c r="O9" s="15"/>
    </row>
    <row r="10" spans="1:15" ht="35" customHeight="1" x14ac:dyDescent="0.35">
      <c r="A10" s="15" t="s">
        <v>332</v>
      </c>
      <c r="B10" s="15" t="s">
        <v>19</v>
      </c>
      <c r="C10" s="15" t="s">
        <v>294</v>
      </c>
      <c r="D10" s="15" t="s">
        <v>333</v>
      </c>
      <c r="E10" s="18" t="s">
        <v>13</v>
      </c>
      <c r="F10" s="15" t="s">
        <v>44</v>
      </c>
      <c r="G10" s="15" t="s">
        <v>239</v>
      </c>
      <c r="H10" s="15" t="s">
        <v>334</v>
      </c>
      <c r="I10" s="15" t="s">
        <v>335</v>
      </c>
      <c r="J10" s="15" t="s">
        <v>336</v>
      </c>
      <c r="K10" s="15" t="s">
        <v>49</v>
      </c>
      <c r="L10" s="15" t="s">
        <v>318</v>
      </c>
      <c r="M10" s="15" t="s">
        <v>22</v>
      </c>
      <c r="N10" s="15"/>
      <c r="O10" s="15" t="s">
        <v>337</v>
      </c>
    </row>
    <row r="11" spans="1:15" ht="35" customHeight="1" x14ac:dyDescent="0.35">
      <c r="A11" s="15" t="s">
        <v>338</v>
      </c>
      <c r="B11" s="15" t="s">
        <v>19</v>
      </c>
      <c r="C11" s="15" t="s">
        <v>294</v>
      </c>
      <c r="D11" s="15" t="s">
        <v>339</v>
      </c>
      <c r="E11" s="18" t="s">
        <v>13</v>
      </c>
      <c r="F11" s="15" t="s">
        <v>69</v>
      </c>
      <c r="G11" s="15" t="s">
        <v>239</v>
      </c>
      <c r="H11" s="15" t="s">
        <v>340</v>
      </c>
      <c r="I11" s="15" t="s">
        <v>341</v>
      </c>
      <c r="J11" s="15" t="s">
        <v>342</v>
      </c>
      <c r="K11" s="15" t="s">
        <v>49</v>
      </c>
      <c r="L11" s="15" t="s">
        <v>318</v>
      </c>
      <c r="M11" s="15" t="s">
        <v>22</v>
      </c>
      <c r="N11" s="15"/>
      <c r="O11" s="15" t="s">
        <v>337</v>
      </c>
    </row>
    <row r="12" spans="1:15" ht="35" customHeight="1" x14ac:dyDescent="0.35">
      <c r="A12" s="15" t="s">
        <v>343</v>
      </c>
      <c r="B12" s="15" t="s">
        <v>19</v>
      </c>
      <c r="C12" s="15" t="s">
        <v>294</v>
      </c>
      <c r="D12" s="15" t="s">
        <v>344</v>
      </c>
      <c r="E12" s="18" t="s">
        <v>13</v>
      </c>
      <c r="F12" s="15" t="s">
        <v>44</v>
      </c>
      <c r="G12" s="15" t="s">
        <v>345</v>
      </c>
      <c r="H12" s="15" t="s">
        <v>310</v>
      </c>
      <c r="I12" s="15" t="s">
        <v>346</v>
      </c>
      <c r="J12" s="15" t="s">
        <v>347</v>
      </c>
      <c r="K12" s="15" t="s">
        <v>49</v>
      </c>
      <c r="L12" s="15" t="s">
        <v>318</v>
      </c>
      <c r="M12" s="15" t="s">
        <v>22</v>
      </c>
      <c r="N12" s="15"/>
      <c r="O12" s="15" t="s">
        <v>348</v>
      </c>
    </row>
    <row r="13" spans="1:15" ht="23.9" customHeight="1" x14ac:dyDescent="0.35">
      <c r="A13" s="15" t="s">
        <v>349</v>
      </c>
      <c r="B13" s="15" t="s">
        <v>19</v>
      </c>
      <c r="C13" s="15" t="s">
        <v>294</v>
      </c>
      <c r="D13" s="15" t="s">
        <v>350</v>
      </c>
      <c r="E13" s="17" t="s">
        <v>14</v>
      </c>
      <c r="F13" s="15" t="s">
        <v>69</v>
      </c>
      <c r="G13" s="15" t="s">
        <v>239</v>
      </c>
      <c r="H13" s="15" t="s">
        <v>351</v>
      </c>
      <c r="I13" s="15" t="s">
        <v>352</v>
      </c>
      <c r="J13" s="15" t="s">
        <v>353</v>
      </c>
      <c r="K13" s="15" t="s">
        <v>49</v>
      </c>
      <c r="L13" s="15" t="s">
        <v>318</v>
      </c>
      <c r="M13" s="15" t="s">
        <v>24</v>
      </c>
      <c r="N13" s="15"/>
      <c r="O13" s="15"/>
    </row>
    <row r="14" spans="1:15" ht="23.9" customHeight="1" x14ac:dyDescent="0.35">
      <c r="A14" s="15" t="s">
        <v>354</v>
      </c>
      <c r="B14" s="15" t="s">
        <v>19</v>
      </c>
      <c r="C14" s="15" t="s">
        <v>294</v>
      </c>
      <c r="D14" s="15" t="s">
        <v>355</v>
      </c>
      <c r="E14" s="17" t="s">
        <v>14</v>
      </c>
      <c r="F14" s="15" t="s">
        <v>80</v>
      </c>
      <c r="G14" s="15" t="s">
        <v>239</v>
      </c>
      <c r="H14" s="15" t="s">
        <v>356</v>
      </c>
      <c r="I14" s="15" t="s">
        <v>357</v>
      </c>
      <c r="J14" s="15" t="s">
        <v>358</v>
      </c>
      <c r="K14" s="15" t="s">
        <v>49</v>
      </c>
      <c r="L14" s="15" t="s">
        <v>318</v>
      </c>
      <c r="M14" s="15" t="s">
        <v>24</v>
      </c>
      <c r="N14" s="15"/>
      <c r="O14" s="15"/>
    </row>
    <row r="15" spans="1:15" ht="35" customHeight="1" x14ac:dyDescent="0.35">
      <c r="A15" s="15" t="s">
        <v>359</v>
      </c>
      <c r="B15" s="15" t="s">
        <v>19</v>
      </c>
      <c r="C15" s="15" t="s">
        <v>225</v>
      </c>
      <c r="D15" s="15" t="s">
        <v>360</v>
      </c>
      <c r="E15" s="17" t="s">
        <v>14</v>
      </c>
      <c r="F15" s="15" t="s">
        <v>80</v>
      </c>
      <c r="G15" s="15" t="s">
        <v>239</v>
      </c>
      <c r="H15" s="15" t="s">
        <v>310</v>
      </c>
      <c r="I15" s="15" t="s">
        <v>361</v>
      </c>
      <c r="J15" s="15" t="s">
        <v>362</v>
      </c>
      <c r="K15" s="15" t="s">
        <v>49</v>
      </c>
      <c r="L15" s="15" t="s">
        <v>297</v>
      </c>
      <c r="M15" s="15" t="s">
        <v>24</v>
      </c>
      <c r="N15" s="15"/>
      <c r="O15" s="15"/>
    </row>
    <row r="16" spans="1:15" ht="35" customHeight="1" x14ac:dyDescent="0.35"/>
    <row r="17" ht="23.9" customHeight="1" x14ac:dyDescent="0.35"/>
    <row r="18" ht="35" customHeight="1" x14ac:dyDescent="0.35"/>
    <row r="19" ht="35" customHeight="1" x14ac:dyDescent="0.35"/>
    <row r="20" ht="46.25" customHeight="1" x14ac:dyDescent="0.35"/>
    <row r="21" ht="35" customHeight="1" x14ac:dyDescent="0.35"/>
    <row r="22" ht="35" customHeight="1" x14ac:dyDescent="0.35"/>
    <row r="23" ht="35" customHeight="1" x14ac:dyDescent="0.35"/>
    <row r="24" ht="23.9" customHeight="1" x14ac:dyDescent="0.35"/>
    <row r="25" ht="23.9" customHeight="1" x14ac:dyDescent="0.35"/>
    <row r="26" ht="23.9" customHeight="1" x14ac:dyDescent="0.35"/>
    <row r="27" ht="35" customHeight="1" x14ac:dyDescent="0.35"/>
    <row r="28" ht="23.9" customHeight="1" x14ac:dyDescent="0.35"/>
    <row r="29" ht="35" customHeight="1" x14ac:dyDescent="0.35"/>
    <row r="30" ht="23.9" customHeight="1" x14ac:dyDescent="0.35"/>
    <row r="31" ht="23.9" customHeight="1" x14ac:dyDescent="0.35"/>
    <row r="32" ht="35" customHeight="1" x14ac:dyDescent="0.35"/>
    <row r="33" ht="46.25" customHeight="1" x14ac:dyDescent="0.35"/>
  </sheetData>
  <autoFilter ref="A1:O15" xr:uid="{00000000-0009-0000-0000-000003000000}"/>
  <conditionalFormatting sqref="M2:M15">
    <cfRule type="cellIs" dxfId="2" priority="2" operator="equal">
      <formula>"Pass"</formula>
    </cfRule>
  </conditionalFormatting>
  <conditionalFormatting sqref="M2:M15">
    <cfRule type="cellIs" dxfId="1" priority="3" operator="equal">
      <formula>"Fail"</formula>
    </cfRule>
  </conditionalFormatting>
  <conditionalFormatting sqref="M2:M15">
    <cfRule type="cellIs" dxfId="0" priority="4" operator="equal">
      <formula>"Blocked"</formula>
    </cfRule>
  </conditionalFormatting>
  <dataValidations count="1">
    <dataValidation type="list" allowBlank="1" sqref="M2:M15" xr:uid="{1BA9D181-C2EF-4231-9122-93ACF90C89AB}">
      <formula1>"Not Run,Pass,Fail,Blocked,Skipped"</formula1>
    </dataValidation>
  </dataValidations>
  <pageMargins left="0.75" right="0.75" top="1" bottom="1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Login</vt:lpstr>
      <vt:lpstr>Cart</vt:lpstr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Quang Nam (VD-KSXVH-PQLDACL)</cp:lastModifiedBy>
  <cp:revision>4</cp:revision>
  <dcterms:created xsi:type="dcterms:W3CDTF">2026-10-25T06:57:16Z</dcterms:created>
  <dcterms:modified xsi:type="dcterms:W3CDTF">2026-10-29T04:58:39Z</dcterms:modified>
  <dc:language>en-US</dc:language>
</cp:coreProperties>
</file>