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Summary" sheetId="1" state="visible" r:id="rId1"/>
    <sheet name="Performance" sheetId="2" state="visible" r:id="rId2"/>
  </sheets>
  <definedNames>
    <definedName name="_xlnm._FilterDatabase" localSheetId="1" hidden="1">Performance!$A$1:$P$8</definedName>
    <definedName name="_xlnm._FilterDatabase" localSheetId="1" hidden="1">Performance!$A$1:$P$8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<sst xmlns="http://schemas.openxmlformats.org/spreadsheetml/2006/main" count="124" uniqueCount="124">
  <si>
    <t xml:space="preserve">Demoblaze – Performance Test Cases (Login &amp; Cart)</t>
  </si>
  <si>
    <t>Application</t>
  </si>
  <si>
    <t xml:space="preserve">https://www.demoblaze.com/ (API: https://api.demoblaze.com)</t>
  </si>
  <si>
    <t>Scope</t>
  </si>
  <si>
    <t xml:space="preserve">Login, Cart – API latency under load + frontend Web Vitals</t>
  </si>
  <si>
    <t>Tool</t>
  </si>
  <si>
    <t xml:space="preserve">k6 (HTTP + k6/browser)</t>
  </si>
  <si>
    <t>Author</t>
  </si>
  <si>
    <t xml:space="preserve">Nolan Tran</t>
  </si>
  <si>
    <t>Version</t>
  </si>
  <si>
    <t>1.0</t>
  </si>
  <si>
    <t>Created</t>
  </si>
  <si>
    <t>2026-10-28</t>
  </si>
  <si>
    <t>Coverage</t>
  </si>
  <si>
    <t>Type</t>
  </si>
  <si>
    <t>Login</t>
  </si>
  <si>
    <t>Cart</t>
  </si>
  <si>
    <t>Total</t>
  </si>
  <si>
    <t>Smoke</t>
  </si>
  <si>
    <t>Load</t>
  </si>
  <si>
    <t xml:space="preserve">Web Vitals</t>
  </si>
  <si>
    <t xml:space="preserve">Execution status</t>
  </si>
  <si>
    <t>Pass</t>
  </si>
  <si>
    <t>Fail</t>
  </si>
  <si>
    <t>Blocked</t>
  </si>
  <si>
    <t xml:space="preserve">Not Run</t>
  </si>
  <si>
    <t xml:space="preserve">Pass rate</t>
  </si>
  <si>
    <t xml:space="preserve">Load profiles</t>
  </si>
  <si>
    <t>Profile</t>
  </si>
  <si>
    <t>Shape</t>
  </si>
  <si>
    <t>Purpose</t>
  </si>
  <si>
    <t xml:space="preserve">When it runs</t>
  </si>
  <si>
    <t>smoke</t>
  </si>
  <si>
    <t xml:space="preserve">1 VU, 1 min</t>
  </si>
  <si>
    <t xml:space="preserve">Sanity check that script and thresholds work</t>
  </si>
  <si>
    <t xml:space="preserve">Every push / MR</t>
  </si>
  <si>
    <t>load</t>
  </si>
  <si>
    <t xml:space="preserve">0→10 VUs (1 min), 10 VUs (3 min), 10→0 (1 min)</t>
  </si>
  <si>
    <t xml:space="preserve">Expected normal traffic</t>
  </si>
  <si>
    <t xml:space="preserve">Nightly / manual</t>
  </si>
  <si>
    <t>browser</t>
  </si>
  <si>
    <t xml:space="preserve">1 VU, 5 iterations, Chromium</t>
  </si>
  <si>
    <t xml:space="preserve">Frontend Web Vitals</t>
  </si>
  <si>
    <t xml:space="preserve">TC ID</t>
  </si>
  <si>
    <t>Feature</t>
  </si>
  <si>
    <t>Title</t>
  </si>
  <si>
    <t>Priority</t>
  </si>
  <si>
    <t>Target</t>
  </si>
  <si>
    <t>Preconditions</t>
  </si>
  <si>
    <t xml:space="preserve">Load Profile</t>
  </si>
  <si>
    <t xml:space="preserve">Test Flow</t>
  </si>
  <si>
    <t>Metrics</t>
  </si>
  <si>
    <t xml:space="preserve">Threshold (Pass criteria)</t>
  </si>
  <si>
    <t>Automation</t>
  </si>
  <si>
    <t xml:space="preserve">k6 Script</t>
  </si>
  <si>
    <t>Status</t>
  </si>
  <si>
    <t xml:space="preserve">Actual Result</t>
  </si>
  <si>
    <t>Notes</t>
  </si>
  <si>
    <t>PF-001</t>
  </si>
  <si>
    <t xml:space="preserve">Login API – smoke baseline</t>
  </si>
  <si>
    <t>High</t>
  </si>
  <si>
    <t xml:space="preserve">POST https://api.demoblaze.com/login</t>
  </si>
  <si>
    <t xml:space="preserve">Registered account created in setup()</t>
  </si>
  <si>
    <t xml:space="preserve">smoke: 1 VU, 1 min</t>
  </si>
  <si>
    <t xml:space="preserve">1. POST /login with valid credentials
2. Check body starts with 'Auth_token:'
3. Sleep 1s</t>
  </si>
  <si>
    <t xml:space="preserve">http_req_duration{name:login}
http_req_failed
checks</t>
  </si>
  <si>
    <t xml:space="preserve">P(95) &lt; 1800 ms
http_req_failed rate &lt; 1%
checks rate &gt; 99%</t>
  </si>
  <si>
    <t>k6</t>
  </si>
  <si>
    <t>tests/performance/scenarios/login.k6.ts</t>
  </si>
  <si>
    <t>pass</t>
  </si>
  <si>
    <t xml:space="preserve">    checks
    ✓ 'rate&gt;0.99' rate=100.00%
    http_req_duration{name:login}
    ✓ 'p(95)&lt;1800' p(95)=1.18s
    http_req_failed
    ✓ 'rate&lt;0.01' rate=0.00%
  █ TOTAL RESULTS 
    checks_total.......: 134     2.196415/s
    checks_succeeded...: 100.00% 134 out of 134
    checks_failed......: 0.00%   0 out of 134
    ✓ login status 200
    ✓ body got auth_token
    HTTP
    http_req_duration..............: avg=885ms    min=328.73ms med=1.07s max=1.24s p(90)=1.11s p(95)=1.17s
      { expected_response:true }...: avg=885ms    min=328.73ms med=1.07s max=1.24s p(90)=1.11s p(95)=1.17s
      { name:login }...............: avg=893.3ms  min=330.21ms med=1.07s max=1.24s p(90)=1.11s p(95)=1.18s
    http_req_failed................: 0.00% 0 out of 68
    http_reqs......................: 68    1.114598/s
    EXECUTION
    iteration_duration.............: avg=901.55ms min=330.55ms med=1.07s max=1.26s p(90)=1.12s p(95)=1.19s
    iterations.....................: 67    1.098207/s
    vus............................: 1     min=1       max=1
    vus_max........................: 1     min=1       max=1
    NETWORK
    data_received..................: 28 kB 452 B/s
    data_sent......................: 15 kB 251 B/s</t>
  </si>
  <si>
    <t xml:space="preserve">Runs on every push / MR</t>
  </si>
  <si>
    <t>PF-002</t>
  </si>
  <si>
    <t xml:space="preserve">Login API – load</t>
  </si>
  <si>
    <t xml:space="preserve">load: ramp 0→10 VUs 1 min, hold 10 VUs 3 min, ramp down 1 min</t>
  </si>
  <si>
    <t xml:space="preserve">1. POST /login with valid credentials
2. Check token returned
3. Sleep 1s</t>
  </si>
  <si>
    <t xml:space="preserve">http_req_duration{name:login}
http_req_failed
checks
http_reqs (throughput)</t>
  </si>
  <si>
    <t xml:space="preserve">checks_total.......: 1524    6.000765/s
    checks_succeeded...: 100.00% 1524 out of 1524
    checks_failed......: 0.00%   0 out of 1524
    ✓ login status 200
    ✓ body got auth_token
    HTTP
    http_req_duration..............: avg=619.08ms min=293.28ms med=411.2ms  max=9.63s  p(90)=1.03s p(95)=1.12s
      { expected_response:true }...: avg=619.08ms min=293.28ms med=411.2ms  max=9.63s  p(90)=1.03s p(95)=1.12s
      { name:login }...............: avg=614.57ms min=293.28ms med=410.46ms max=9.63s  p(90)=1.03s p(95)=1.12s
    http_req_failed................: 0.00%  0 out of 763
    http_reqs......................: 763    3.00432/s
    EXECUTION
    iteration_duration.............: avg=1.62s    min=1.29s    med=1.41s    max=10.63s p(90)=2.03s p(95)=2.12s
    iterations.....................: 762    3.000383/s
    vus............................: 1      min=0        max=10
    vus_max........................: 10     min=10       max=10
ê là 763 request nhỉ? thế total 1524 là sao ?</t>
  </si>
  <si>
    <t xml:space="preserve">Nightly / manual trigger</t>
  </si>
  <si>
    <t>PF-003</t>
  </si>
  <si>
    <t xml:space="preserve">Add to cart API – load</t>
  </si>
  <si>
    <t xml:space="preserve">POST https://api.demoblaze.com/addtocart</t>
  </si>
  <si>
    <t xml:space="preserve">Each VU uses its own guest cookie id</t>
  </si>
  <si>
    <t xml:space="preserve">1. POST /addtocart {id, cookie, prod_id, flag:false}
2. Check status 200
3. Sleep 1s</t>
  </si>
  <si>
    <t xml:space="preserve">http_req_duration{name:addtocart}
http_req_failed
checks</t>
  </si>
  <si>
    <t>tests/performance/scenarios/cart.k6.ts</t>
  </si>
  <si>
    <t xml:space="preserve"> TOTAL RESULTS 
    checks_total.......: 1682    4.647349/s
    checks_succeeded...: 100.00% 1682 out of 1682
    checks_failed......: 0.00%   0 out of 1682
    ✓ add to cart status 200
    HTTP
    http_req_duration..............: avg=484.02ms min=253.22ms med=277.2ms  max=11.25s p(90)=898.39ms p(95)=1.73s
      { expected_response:true }...: avg=484.02ms min=253.22ms med=277.2ms  max=11.25s p(90)=898.39ms p(95)=1.73s
      { name:addtocart }...........: avg=450.61ms min=253.22ms med=277.11ms max=6.28s  p(90)=841.51ms p(95)=1.66s
    http_req_failed................: 0.00%  0 out of 1689
    http_reqs......................: 1689   4.66669/s
    EXECUTION
    iteration_duration.............: avg=1.45s    min=1.25s    med=1.27s    max=7.28s  p(90)=1.84s    p(95)=2.66s
    iterations.....................: 1682   4.647349/s
    vus............................: 0      min=0         max=10
    vus_max........................: 10     min=10        max=10
    NETWORK
    data_received..................: 245 kB 677 B/s
    data_sent......................: 418 kB 1.2 kB/s</t>
  </si>
  <si>
    <t xml:space="preserve">teardown() deletes created rows</t>
  </si>
  <si>
    <t>PF-004</t>
  </si>
  <si>
    <t xml:space="preserve">View cart API – load with 5 items</t>
  </si>
  <si>
    <t>Medium</t>
  </si>
  <si>
    <t xml:space="preserve">POST https://api.demoblaze.com/viewcart</t>
  </si>
  <si>
    <t xml:space="preserve">Each VU's guest cart seeded with 5 items in the first iteration</t>
  </si>
  <si>
    <t xml:space="preserve">1. POST /viewcart {cookie, flag:false}
2. Check Items length = 5
3. Sleep 1s</t>
  </si>
  <si>
    <t xml:space="preserve">http_req_duration{name:viewcart}
http_req_failed
checks</t>
  </si>
  <si>
    <t xml:space="preserve">OTAL RESULTS 
    checks_total.......: 4509    14.366251/s
    checks_succeeded...: 100.00% 4509 out of 4509
    checks_failed......: 0.00%   0 out of 4509
    ✓ view cart status 200
    ✓ cart has 5 lines
    ✓ cart has the seeded products
    HTTP
    http_req_duration..............: avg=603.03ms min=252.11ms med=297.19ms max=3.83s  p(90)=1.61s p(95)=2.01s
      { expected_response:true }...: avg=603.03ms min=252.11ms med=297.19ms max=3.83s  p(90)=1.61s p(95)=2.01s
      { name:viewcart }............: avg=547.29ms min=252.11ms med=291.08ms max=3.83s  p(90)=1.42s p(95)=1.93s
    http_req_failed................: 0.00%  0 out of 1564
      { name:viewcart }............: 0.00%  0 out of 1503
    http_reqs......................: 1564   4.983104/s
    EXECUTION
    iteration_duration.............: avg=1.62s    min=1.25s    med=1.29s    max=18.25s p(90)=2.43s p(95)=2.95s
    iterations.....................: 1503   4.78875/s
    vus............................: 0      min=0         max=10
    vus_max........................: 10     min=10        max=10
    NETWORK
    data_received..................: 1.2 MB 4.0 kB/s
    data_sent......................: 311 kB 992 B/s</t>
  </si>
  <si>
    <t>PF-005</t>
  </si>
  <si>
    <t xml:space="preserve">Cart journey API – add → view → delete</t>
  </si>
  <si>
    <t xml:space="preserve">POST https://api.demoblaze.com/addtocart, /viewcart, /deleteitem</t>
  </si>
  <si>
    <t xml:space="preserve">1. POST /addtocart
2. POST /viewcart – check item present
3. POST /deleteitem
4. POST /viewcart – check item removed
5. Sleep 1s</t>
  </si>
  <si>
    <t xml:space="preserve">http_req_duration per endpoint
iteration_duration
http_req_failed
checks</t>
  </si>
  <si>
    <t xml:space="preserve">Each endpoint p(95) &lt; 1800 ms
iteration_duration p(95) &lt; 6000 ms
http_req_failed rate &lt; 1%
checks rate &gt; 99%</t>
  </si>
  <si>
    <t xml:space="preserve">    checks
    ✓ 'rate&gt;0.99' rate=100.00%
    http_req_duration{name:addtocart}
    ✓ 'p(95)&lt;1800' p(95)=996.94ms
    http_req_duration{name:deleteitem}
    ✓ 'p(95)&lt;1800' p(95)=800.62ms
    http_req_duration{name:viewcart}
    ✓ 'p(95)&lt;1800' p(95)=753.69ms
    http_req_failed
    ✓ 'rate&lt;0.01' rate=0.00%
    iteration_duration
    ✓ 'p(95)&lt;6000' p(95)=5.15s
  █ TOTAL RESULTS 
    checks_total.......: 4064    13.283968/s
    checks_succeeded...: 100.00% 4064 out of 4064
    checks_failed......: 0.00%   0 out of 4064
    ✓ add to cart status 200
    ✓ cart has the added item
    ✓ delete item status 200
    ✓ deleted item is gone
    HTTP
    http_req_duration..............: avg=353.02ms min=237.8ms  med=274.39ms max=2.15s p(90)=341.18ms p(95)=804.34ms
      { expected_response:true }...: avg=353.02ms min=237.8ms  med=274.39ms max=2.15s p(90)=341.18ms p(95)=804.34ms
      { name:addtocart }...........: avg=360.5ms  min=252ms    med=273.79ms max=2.04s p(90)=345.63ms p(95)=996.94ms
      { name:deleteitem }..........: avg=366.41ms min=260.57ms med=289.56ms max=2.15s p(90)=363.06ms p(95)=800.62ms
      { name:viewcart }............: avg=342.01ms min=237.8ms  med=262.16ms max=2.15s p(90)=329.76ms p(95)=753.69ms
    http_req_failed................: 0.00%  0 out of 4075
    http_reqs......................: 4075   13.319924/s
    EXECUTION
    iteration_duration.............: avg=2.41s    min=2.01s    med=2.11s    max=9.01s p(90)=2.28s    p(95)=5.15s   
    iterations.....................: 1016   3.320992/s
    vus............................: 0      min=0         max=10
    vus_max........................: 10     min=10        max=10
    NETWORK
    data_received..................: 910 kB 3.0 kB/s
    data_sent......................: 783 kB 2.6 kB/s</t>
  </si>
  <si>
    <t xml:space="preserve">Cart stays empty after each iteration</t>
  </si>
  <si>
    <t>PF-006</t>
  </si>
  <si>
    <t xml:space="preserve">Home page (login entry) – Web Vitals</t>
  </si>
  <si>
    <t>https://www.demoblaze.com/</t>
  </si>
  <si>
    <t>None</t>
  </si>
  <si>
    <t xml:space="preserve">browser: 1 VU, 5 iterations (Chromium)</t>
  </si>
  <si>
    <t xml:space="preserve">1. Open Home page
2. Wait for product cards
3. Open Log in modal</t>
  </si>
  <si>
    <t xml:space="preserve">browser_web_vital_lcp / fcp / cls / ttfb</t>
  </si>
  <si>
    <t xml:space="preserve">LCP p(75) &lt; 2500 ms
FCP p(75) &lt; 1800 ms
CLS p(75) &lt; 0.1
TTFB p(75) &lt; 800 ms</t>
  </si>
  <si>
    <t>tests/performance/scenarios/web-vitals.k6.ts</t>
  </si>
  <si>
    <t xml:space="preserve">THRESHOLDS 
    browser_web_vital_cls
    ✓ 'p(75)&lt;0.1' p(75)=0.079326
    browser_web_vital_fcp
    ✓ 'p(75)&lt;1800' p(75)=664ms
    browser_web_vital_lcp
    ✓ 'p(75)&lt;2500' p(75)=664ms
    browser_web_vital_ttfb
    ✓ 'p(75)&lt;800' p(75)=350.59ms
    checks
    ✓ 'rate&gt;0.99' rate=100.00%
  █ TOTAL RESULTS 
    checks_total.......: 5       0.390492/s
    checks_succeeded...: 100.00% 5 out of 5
    checks_failed......: 0.00%   0 out of 5
    ✓ Log in modal opens
    EXECUTION
    iteration_duration..........: avg=2.35s    min=1.75s    med=2.13s    max=3.73s    p(90)=3.14s    p(95)=3.43s   
    iterations..................: 5     0.390492/s
    vus.........................: 1     min=1        max=1
    vus_max.....................: 1     min=1        max=1
    NETWORK
    data_received...............: 0 B   0 B/s
    data_sent...................: 0 B   0 B/s
    BROWSER
    browser_data_received.......: 15 MB 1.2 MB/s
    browser_data_sent...........: 79 kB 6.2 kB/s
    browser_http_req_duration...: avg=239.65ms min=29.25ms  med=258.15ms max=2.25s    p(90)=352.31ms p(95)=383.8ms 
    browser_http_req_failed.....: 0.00% 0 out of 155
    WEB_VITALS
    browser_web_vital_cls.......: avg=0.075353 min=0.063025 med=0.065209 max=0.106008 p(90)=0.095335 p(95)=0.100671
    browser_web_vital_fcp.......: avg=688.8ms  min=628ms    med=660ms    max=852ms    p(90)=776.8ms  p(95)=814.4ms 
    browser_web_vital_inp.......: avg=17.6ms   min=16ms     med=16ms     max=24ms     p(90)=20.8ms   p(95)=22.4ms  
    browser_web_vital_lcp.......: avg=688.8ms  min=628ms    med=660ms    max=852ms    p(90)=776.8ms  p(95)=814.4ms 
    browser_web_vital_ttfb......: avg=360.8ms  min=326.29ms med=340.1ms  max=449.09ms p(90)=409.69ms p(95)=429.39ms</t>
  </si>
  <si>
    <t xml:space="preserve">Needs Chromium on the CI runner</t>
  </si>
  <si>
    <t>PF-007</t>
  </si>
  <si>
    <t xml:space="preserve">Cart page with 3 items – Web Vitals</t>
  </si>
  <si>
    <t>https://www.demoblaze.com/cart.html</t>
  </si>
  <si>
    <t xml:space="preserve">Guest cart seeded with 3 items via API before page load</t>
  </si>
  <si>
    <t xml:space="preserve">1. Seed cart via API
2. Open Cart page
3. Wait until 3 rows and Total are rendered</t>
  </si>
  <si>
    <t xml:space="preserve">browser_web_vital_lcp / fcp / cls / ttfb
cart_render_time (custom Trend)</t>
  </si>
  <si>
    <t xml:space="preserve">LCP p(75) &lt; 2500 ms
FCP p(75) &lt; 1800 ms
CLS p(75) &lt; 0.1
cart_render_time p(75) &lt; 4000 ms</t>
  </si>
  <si>
    <t xml:space="preserve">TOTAL RESULTS 
    checks_total.......: 5       0.19741/s
    checks_succeeded...: 100.00% 5 out of 5
    checks_failed......: 0.00%   0 out of 5
    ✓ cart shows 3 rows
    CUSTOM
    cart_render_time...............: avg=2.46s    min=2.14s    med=2.27s    max=3.39s    p(90)=2.94s    p(95)=3.17s   
    HTTP
    http_req_duration..............: avg=344.59ms min=269.27ms med=306.89ms max=678.15ms p(90)=409.52ms p(95)=563.63ms
      { expected_response:true }...: avg=344.59ms min=269.27ms med=306.89ms max=678.15ms p(90)=409.52ms p(95)=563.63ms
    http_req_failed................: 0.00%  0 out of 31
    http_reqs......................: 31     1.223942/s
    EXECUTION
    iteration_duration.............: avg=4.8s     min=4.41s    med=4.55s    max=5.86s    p(90)=5.4s     p(95)=5.63s   
    iterations.....................: 5      0.19741/s
    vus............................: 1      min=1        max=1
    vus_max........................: 1      min=1        max=1
    NETWORK
    data_received..................: 19 kB  746 B/s
    data_sent......................: 9.4 kB 369 B/s
    BROWSER
    browser_data_received..........: 11 MB  422 kB/s
    browser_data_sent..............: 87 kB  3.4 kB/s
    browser_http_req_duration......: avg=280.24ms min=26.97ms  med=261.38ms max=1.41s    p(90)=613.96ms p(95)=701.81ms
    browser_http_req_failed........: 0.00%  0 out of 156
    WEB_VITALS
    browser_web_vital_cls..........: avg=0.074864 min=0.074864 med=0.074864 max=0.074864 p(90)=0.074864 p(95)=0.074864
    browser_web_vital_fcp..........: avg=659.2ms  min=480ms    med=700ms    max=756ms    p(90)=743.2ms  p(95)=749.6ms 
    browser_web_vital_inp..........: avg=2ms      min=0s       med=0s       max=8ms      p(90)=5.6ms    p(95)=6.79ms  
    browser_web_vital_lcp..........: avg=940ms    min=768ms    med=980ms    max=1.02s    p(90)=1.01s    p(95)=1.02s   
    browser_web_vital_ttfb.........: avg=341.45ms min=158.09ms med=396.39ms max=413.7ms  p(90)=406.98ms p(95)=410.34ms</t>
  </si>
  <si>
    <t xml:space="preserve">cart_render_time = navigation → last row visible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</si>
</sst>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>
    <font>
      <sz val="11.000000"/>
      <color indexed="64"/>
      <name val="Calibri"/>
    </font>
    <font>
      <sz val="10.000000"/>
      <name val="Arial"/>
    </font>
    <font>
      <b/>
      <sz val="14.000000"/>
      <color rgb="FF1F3864"/>
      <name val="Arial"/>
    </font>
    <font>
      <b/>
      <sz val="10.000000"/>
      <name val="Arial"/>
    </font>
    <font>
      <b/>
      <sz val="11.000000"/>
      <name val="Arial"/>
    </font>
    <font>
      <b/>
      <sz val="10.000000"/>
      <color indexed="65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5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Protection="0">
      <protection hidden="0" locked="1"/>
    </xf>
    <xf fontId="1" fillId="0" borderId="0" numFmtId="0" xfId="0" applyFont="1" applyProtection="0">
      <protection hidden="0" locked="1"/>
    </xf>
    <xf fontId="4" fillId="0" borderId="0" numFmtId="0" xfId="0" applyFont="1" applyProtection="0">
      <protection hidden="0" locked="1"/>
    </xf>
    <xf fontId="5" fillId="2" borderId="1" numFmtId="0" xfId="0" applyFont="1" applyFill="1" applyBorder="1" applyAlignment="1" applyProtection="0">
      <alignment horizontal="center" vertical="center" wrapText="1"/>
      <protection hidden="0" locked="1"/>
    </xf>
    <xf fontId="1" fillId="0" borderId="1" numFmtId="0" xfId="0" applyFont="1" applyBorder="1" applyProtection="0">
      <protection hidden="0" locked="1"/>
    </xf>
    <xf fontId="1" fillId="0" borderId="1" numFmtId="0" xfId="0" applyFont="1" applyBorder="1" applyAlignment="1" applyProtection="0">
      <alignment horizontal="center"/>
      <protection hidden="0" locked="1"/>
    </xf>
    <xf fontId="3" fillId="0" borderId="1" numFmtId="0" xfId="0" applyFont="1" applyBorder="1" applyProtection="0">
      <protection hidden="0" locked="1"/>
    </xf>
    <xf fontId="3" fillId="0" borderId="1" numFmtId="0" xfId="0" applyFont="1" applyBorder="1" applyAlignment="1" applyProtection="0">
      <alignment horizontal="center"/>
      <protection hidden="0" locked="1"/>
    </xf>
    <xf fontId="1" fillId="0" borderId="1" numFmtId="164" xfId="0" applyNumberFormat="1" applyFont="1" applyBorder="1" applyAlignment="1" applyProtection="0">
      <alignment horizontal="center"/>
      <protection hidden="0" locked="1"/>
    </xf>
    <xf fontId="1" fillId="0" borderId="1" numFmtId="0" xfId="0" applyFont="1" applyBorder="1" applyAlignment="1" applyProtection="0">
      <alignment vertical="top" wrapText="1"/>
      <protection hidden="0" locked="1"/>
    </xf>
    <xf fontId="1" fillId="3" borderId="1" numFmtId="0" xfId="0" applyFont="1" applyFill="1" applyBorder="1" applyAlignment="1" applyProtection="0">
      <alignment vertical="top" wrapText="1"/>
      <protection hidden="0" locked="1"/>
    </xf>
    <xf fontId="1" fillId="4" borderId="1" numFmtId="0" xfId="0" applyFont="1" applyFill="1" applyBorder="1" applyAlignment="1" applyProtection="0">
      <alignment vertical="top" wrapText="1"/>
      <protection hidden="0" locked="1"/>
    </xf>
    <xf fontId="1" fillId="5" borderId="1" numFmtId="0" xfId="0" applyFont="1" applyFill="1" applyBorder="1" applyAlignment="1" applyProtection="0">
      <alignment vertical="top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3" zoomScale="69" workbookViewId="0">
      <selection activeCell="E31" activeCellId="0" sqref="E31"/>
    </sheetView>
  </sheetViews>
  <sheetFormatPr defaultColWidth="8.63671875" defaultRowHeight="14.25"/>
  <cols>
    <col customWidth="1" min="1" max="1" style="0" width="24"/>
    <col customWidth="1" min="2" max="2" style="0" width="46"/>
    <col customWidth="1" min="3" max="3" style="0" width="40"/>
    <col customWidth="1" min="4" max="4" style="0" width="18"/>
    <col customWidth="1" min="5" max="6" style="0" width="12"/>
  </cols>
  <sheetData>
    <row r="1" ht="18">
      <c r="A1" s="1" t="s">
        <v>0</v>
      </c>
    </row>
    <row r="3" ht="14.25">
      <c r="A3" s="2" t="s">
        <v>1</v>
      </c>
      <c r="B3" s="3" t="s">
        <v>2</v>
      </c>
    </row>
    <row r="4" ht="14.25">
      <c r="A4" s="2" t="s">
        <v>3</v>
      </c>
      <c r="B4" s="3" t="s">
        <v>4</v>
      </c>
    </row>
    <row r="5" ht="14.25">
      <c r="A5" s="2" t="s">
        <v>5</v>
      </c>
      <c r="B5" s="3" t="s">
        <v>6</v>
      </c>
    </row>
    <row r="6" ht="14.25">
      <c r="A6" s="2" t="s">
        <v>7</v>
      </c>
      <c r="B6" s="3" t="s">
        <v>8</v>
      </c>
    </row>
    <row r="7" ht="14.25">
      <c r="A7" s="2" t="s">
        <v>9</v>
      </c>
      <c r="B7" s="3" t="s">
        <v>10</v>
      </c>
    </row>
    <row r="8" ht="14.25">
      <c r="A8" s="2" t="s">
        <v>11</v>
      </c>
      <c r="B8" s="3" t="s">
        <v>12</v>
      </c>
    </row>
    <row r="10" ht="14.25">
      <c r="A10" s="4" t="s">
        <v>13</v>
      </c>
    </row>
    <row r="11" ht="14.25">
      <c r="A11" s="5" t="s">
        <v>14</v>
      </c>
      <c r="B11" s="5" t="s">
        <v>15</v>
      </c>
      <c r="C11" s="5" t="s">
        <v>16</v>
      </c>
      <c r="D11" s="5" t="s">
        <v>17</v>
      </c>
    </row>
    <row r="12" ht="14.25">
      <c r="A12" s="6" t="s">
        <v>18</v>
      </c>
      <c r="B12" s="7">
        <f>COUNTIFS(Performance!$D:$D,"Smoke",Performance!$B:$B,"Login")</f>
        <v>1</v>
      </c>
      <c r="C12" s="7">
        <f>COUNTIFS(Performance!$D:$D,"Smoke",Performance!$B:$B,"Cart")</f>
        <v>0</v>
      </c>
      <c r="D12" s="7">
        <f t="shared" ref="D12:D14" si="0">SUM(B12:C12)</f>
        <v>1</v>
      </c>
    </row>
    <row r="13" ht="14.25">
      <c r="A13" s="6" t="s">
        <v>19</v>
      </c>
      <c r="B13" s="7">
        <f>COUNTIFS(Performance!$D:$D,"Load",Performance!$B:$B,"Login")</f>
        <v>1</v>
      </c>
      <c r="C13" s="7">
        <f>COUNTIFS(Performance!$D:$D,"Load",Performance!$B:$B,"Cart")</f>
        <v>3</v>
      </c>
      <c r="D13" s="7">
        <f t="shared" si="0"/>
        <v>4</v>
      </c>
    </row>
    <row r="14" ht="14.25">
      <c r="A14" s="6" t="s">
        <v>20</v>
      </c>
      <c r="B14" s="7">
        <f>COUNTIFS(Performance!$D:$D,"Web Vitals",Performance!$B:$B,"Login")</f>
        <v>1</v>
      </c>
      <c r="C14" s="7">
        <f>COUNTIFS(Performance!$D:$D,"Web Vitals",Performance!$B:$B,"Cart")</f>
        <v>1</v>
      </c>
      <c r="D14" s="7">
        <f t="shared" si="0"/>
        <v>2</v>
      </c>
    </row>
    <row r="15" ht="14.25">
      <c r="A15" s="8" t="s">
        <v>17</v>
      </c>
      <c r="B15" s="9">
        <f>SUM(B12:B14)</f>
        <v>3</v>
      </c>
      <c r="C15" s="9">
        <f>SUM(C12:C14)</f>
        <v>4</v>
      </c>
      <c r="D15" s="9">
        <f>SUM(D12:D14)</f>
        <v>7</v>
      </c>
    </row>
    <row r="17" ht="14.25">
      <c r="A17" s="4" t="s">
        <v>21</v>
      </c>
    </row>
    <row r="18" ht="14.25">
      <c r="A18" s="5" t="s">
        <v>22</v>
      </c>
      <c r="B18" s="5" t="s">
        <v>23</v>
      </c>
      <c r="C18" s="5" t="s">
        <v>24</v>
      </c>
      <c r="D18" s="5" t="s">
        <v>25</v>
      </c>
      <c r="E18" s="5" t="s">
        <v>26</v>
      </c>
    </row>
    <row r="19" ht="14.25">
      <c r="A19" s="7">
        <f>COUNTIF(Performance!$N:$N,"Pass")</f>
        <v>6</v>
      </c>
      <c r="B19" s="7">
        <f>COUNTIF(Performance!$N:$N,"Fail")</f>
        <v>1</v>
      </c>
      <c r="C19" s="7">
        <f>COUNTIF(Performance!$N:$N,"Blocked")</f>
        <v>0</v>
      </c>
      <c r="D19" s="7">
        <f>COUNTIF(Performance!$N:$N,"Not Run")</f>
        <v>0</v>
      </c>
      <c r="E19" s="10">
        <f>IFERROR(A19/(A19+B19+C19),0)</f>
        <v>0.857142857142857</v>
      </c>
    </row>
    <row r="21" ht="14.25">
      <c r="A21" s="4" t="s">
        <v>27</v>
      </c>
    </row>
    <row r="22" ht="14.25">
      <c r="A22" s="5" t="s">
        <v>28</v>
      </c>
      <c r="B22" s="5" t="s">
        <v>29</v>
      </c>
      <c r="C22" s="5" t="s">
        <v>30</v>
      </c>
      <c r="D22" s="5" t="s">
        <v>31</v>
      </c>
    </row>
    <row r="23" ht="14.25">
      <c r="A23" s="11" t="s">
        <v>32</v>
      </c>
      <c r="B23" s="11" t="s">
        <v>33</v>
      </c>
      <c r="C23" s="11" t="s">
        <v>34</v>
      </c>
      <c r="D23" s="11" t="s">
        <v>35</v>
      </c>
    </row>
    <row r="24" ht="14.25">
      <c r="A24" s="11" t="s">
        <v>36</v>
      </c>
      <c r="B24" s="11" t="s">
        <v>37</v>
      </c>
      <c r="C24" s="11" t="s">
        <v>38</v>
      </c>
      <c r="D24" s="11" t="s">
        <v>39</v>
      </c>
    </row>
    <row r="25" ht="14.25">
      <c r="A25" s="11" t="s">
        <v>40</v>
      </c>
      <c r="B25" s="11" t="s">
        <v>41</v>
      </c>
      <c r="C25" s="11" t="s">
        <v>42</v>
      </c>
      <c r="D25" s="11" t="s">
        <v>39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69" workbookViewId="0">
      <pane xSplit="3" ySplit="1" topLeftCell="D2" activePane="bottomRight" state="frozen"/>
      <selection activeCell="N7" activeCellId="0" sqref="N7:N8"/>
    </sheetView>
  </sheetViews>
  <sheetFormatPr defaultColWidth="8.63671875" defaultRowHeight="14.25"/>
  <cols>
    <col customWidth="1" min="1" max="2" style="0" width="9"/>
    <col customWidth="1" min="3" max="3" style="0" width="34"/>
    <col customWidth="1" min="4" max="4" style="0" width="12"/>
    <col customWidth="1" min="5" max="5" style="0" width="9"/>
    <col customWidth="1" min="6" max="6" style="0" width="26"/>
    <col customWidth="1" min="7" max="7" style="0" width="28"/>
    <col customWidth="1" min="8" max="8" style="0" width="26"/>
    <col customWidth="1" min="9" max="9" style="0" width="30.989999999999998"/>
    <col customWidth="1" min="10" max="10" style="0" width="28"/>
    <col customWidth="1" min="11" max="11" style="0" width="31.5"/>
    <col customWidth="1" min="12" max="12" style="0" width="11"/>
    <col customWidth="1" min="13" max="13" style="0" width="36"/>
    <col customWidth="1" min="14" max="14" style="0" width="11"/>
    <col customWidth="1" min="15" max="15" style="0" width="28"/>
    <col customWidth="1" min="16" max="16" style="0" width="30"/>
  </cols>
  <sheetData>
    <row r="1" ht="24.600000000000001" customHeight="1">
      <c r="A1" s="5" t="s">
        <v>43</v>
      </c>
      <c r="B1" s="5" t="s">
        <v>44</v>
      </c>
      <c r="C1" s="5" t="s">
        <v>45</v>
      </c>
      <c r="D1" s="5" t="s">
        <v>14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  <c r="L1" s="5" t="s">
        <v>53</v>
      </c>
      <c r="M1" s="5" t="s">
        <v>54</v>
      </c>
      <c r="N1" s="5" t="s">
        <v>55</v>
      </c>
      <c r="O1" s="5" t="s">
        <v>56</v>
      </c>
      <c r="P1" s="5" t="s">
        <v>57</v>
      </c>
    </row>
    <row r="2" ht="73.099999999999994" customHeight="1">
      <c r="A2" s="11" t="s">
        <v>58</v>
      </c>
      <c r="B2" s="11" t="s">
        <v>15</v>
      </c>
      <c r="C2" s="11" t="s">
        <v>59</v>
      </c>
      <c r="D2" s="12" t="s">
        <v>18</v>
      </c>
      <c r="E2" s="11" t="s">
        <v>60</v>
      </c>
      <c r="F2" s="11" t="s">
        <v>61</v>
      </c>
      <c r="G2" s="11" t="s">
        <v>62</v>
      </c>
      <c r="H2" s="11" t="s">
        <v>63</v>
      </c>
      <c r="I2" s="11" t="s">
        <v>64</v>
      </c>
      <c r="J2" s="11" t="s">
        <v>65</v>
      </c>
      <c r="K2" s="11" t="s">
        <v>66</v>
      </c>
      <c r="L2" s="11" t="s">
        <v>67</v>
      </c>
      <c r="M2" s="11" t="s">
        <v>68</v>
      </c>
      <c r="N2" s="11" t="s">
        <v>69</v>
      </c>
      <c r="O2" s="11" t="s">
        <v>70</v>
      </c>
      <c r="P2" s="11" t="s">
        <v>71</v>
      </c>
    </row>
    <row r="3" ht="99.5" customHeight="1">
      <c r="A3" s="11" t="s">
        <v>72</v>
      </c>
      <c r="B3" s="11" t="s">
        <v>15</v>
      </c>
      <c r="C3" s="11" t="s">
        <v>73</v>
      </c>
      <c r="D3" s="13" t="s">
        <v>19</v>
      </c>
      <c r="E3" s="11" t="s">
        <v>60</v>
      </c>
      <c r="F3" s="11" t="s">
        <v>61</v>
      </c>
      <c r="G3" s="11" t="s">
        <v>62</v>
      </c>
      <c r="H3" s="11" t="s">
        <v>74</v>
      </c>
      <c r="I3" s="11" t="s">
        <v>75</v>
      </c>
      <c r="J3" s="11" t="s">
        <v>76</v>
      </c>
      <c r="K3" s="11" t="s">
        <v>66</v>
      </c>
      <c r="L3" s="11" t="s">
        <v>67</v>
      </c>
      <c r="M3" s="11" t="s">
        <v>68</v>
      </c>
      <c r="N3" s="11" t="s">
        <v>69</v>
      </c>
      <c r="O3" s="11" t="s">
        <v>77</v>
      </c>
      <c r="P3" s="11" t="s">
        <v>78</v>
      </c>
    </row>
    <row r="4" ht="90" customHeight="1">
      <c r="A4" s="11" t="s">
        <v>79</v>
      </c>
      <c r="B4" s="11" t="s">
        <v>16</v>
      </c>
      <c r="C4" s="11" t="s">
        <v>80</v>
      </c>
      <c r="D4" s="13" t="s">
        <v>19</v>
      </c>
      <c r="E4" s="11" t="s">
        <v>60</v>
      </c>
      <c r="F4" s="11" t="s">
        <v>81</v>
      </c>
      <c r="G4" s="11" t="s">
        <v>82</v>
      </c>
      <c r="H4" s="11" t="s">
        <v>74</v>
      </c>
      <c r="I4" s="11" t="s">
        <v>83</v>
      </c>
      <c r="J4" s="11" t="s">
        <v>84</v>
      </c>
      <c r="K4" s="11" t="s">
        <v>66</v>
      </c>
      <c r="L4" s="11" t="s">
        <v>67</v>
      </c>
      <c r="M4" s="11" t="s">
        <v>85</v>
      </c>
      <c r="N4" s="11" t="s">
        <v>69</v>
      </c>
      <c r="O4" s="11" t="s">
        <v>86</v>
      </c>
      <c r="P4" s="11" t="s">
        <v>87</v>
      </c>
    </row>
    <row r="5" ht="129.65000000000001" customHeight="1">
      <c r="A5" s="11" t="s">
        <v>88</v>
      </c>
      <c r="B5" s="11" t="s">
        <v>16</v>
      </c>
      <c r="C5" s="11" t="s">
        <v>89</v>
      </c>
      <c r="D5" s="13" t="s">
        <v>19</v>
      </c>
      <c r="E5" s="11" t="s">
        <v>90</v>
      </c>
      <c r="F5" s="11" t="s">
        <v>91</v>
      </c>
      <c r="G5" s="11" t="s">
        <v>92</v>
      </c>
      <c r="H5" s="11" t="s">
        <v>74</v>
      </c>
      <c r="I5" s="11" t="s">
        <v>93</v>
      </c>
      <c r="J5" s="11" t="s">
        <v>94</v>
      </c>
      <c r="K5" s="11" t="s">
        <v>66</v>
      </c>
      <c r="L5" s="11" t="s">
        <v>67</v>
      </c>
      <c r="M5" s="11" t="s">
        <v>85</v>
      </c>
      <c r="N5" s="11" t="s">
        <v>23</v>
      </c>
      <c r="O5" s="11" t="s">
        <v>95</v>
      </c>
      <c r="P5" s="11"/>
    </row>
    <row r="6" ht="118.3" customHeight="1">
      <c r="A6" s="11" t="s">
        <v>96</v>
      </c>
      <c r="B6" s="11" t="s">
        <v>16</v>
      </c>
      <c r="C6" s="11" t="s">
        <v>97</v>
      </c>
      <c r="D6" s="13" t="s">
        <v>19</v>
      </c>
      <c r="E6" s="11" t="s">
        <v>60</v>
      </c>
      <c r="F6" s="11" t="s">
        <v>98</v>
      </c>
      <c r="G6" s="11" t="s">
        <v>82</v>
      </c>
      <c r="H6" s="11" t="s">
        <v>74</v>
      </c>
      <c r="I6" s="11" t="s">
        <v>99</v>
      </c>
      <c r="J6" s="11" t="s">
        <v>100</v>
      </c>
      <c r="K6" s="11" t="s">
        <v>101</v>
      </c>
      <c r="L6" s="11" t="s">
        <v>67</v>
      </c>
      <c r="M6" s="11" t="s">
        <v>85</v>
      </c>
      <c r="N6" s="11" t="s">
        <v>22</v>
      </c>
      <c r="O6" s="11" t="s">
        <v>102</v>
      </c>
      <c r="P6" s="11" t="s">
        <v>103</v>
      </c>
    </row>
    <row r="7" ht="91.299999999999997" customHeight="1">
      <c r="A7" s="11" t="s">
        <v>104</v>
      </c>
      <c r="B7" s="11" t="s">
        <v>15</v>
      </c>
      <c r="C7" s="11" t="s">
        <v>105</v>
      </c>
      <c r="D7" s="14" t="s">
        <v>20</v>
      </c>
      <c r="E7" s="11" t="s">
        <v>90</v>
      </c>
      <c r="F7" s="11" t="s">
        <v>106</v>
      </c>
      <c r="G7" s="11" t="s">
        <v>107</v>
      </c>
      <c r="H7" s="11" t="s">
        <v>108</v>
      </c>
      <c r="I7" s="11" t="s">
        <v>109</v>
      </c>
      <c r="J7" s="11" t="s">
        <v>110</v>
      </c>
      <c r="K7" s="11" t="s">
        <v>111</v>
      </c>
      <c r="L7" s="11" t="s">
        <v>67</v>
      </c>
      <c r="M7" s="11" t="s">
        <v>112</v>
      </c>
      <c r="N7" s="11" t="s">
        <v>22</v>
      </c>
      <c r="O7" s="11" t="s">
        <v>113</v>
      </c>
      <c r="P7" s="11" t="s">
        <v>114</v>
      </c>
    </row>
    <row r="8" ht="109.65000000000001" customHeight="1">
      <c r="A8" s="11" t="s">
        <v>115</v>
      </c>
      <c r="B8" s="11" t="s">
        <v>16</v>
      </c>
      <c r="C8" s="11" t="s">
        <v>116</v>
      </c>
      <c r="D8" s="14" t="s">
        <v>20</v>
      </c>
      <c r="E8" s="11" t="s">
        <v>90</v>
      </c>
      <c r="F8" s="11" t="s">
        <v>117</v>
      </c>
      <c r="G8" s="11" t="s">
        <v>118</v>
      </c>
      <c r="H8" s="11" t="s">
        <v>108</v>
      </c>
      <c r="I8" s="11" t="s">
        <v>119</v>
      </c>
      <c r="J8" s="11" t="s">
        <v>120</v>
      </c>
      <c r="K8" s="11" t="s">
        <v>121</v>
      </c>
      <c r="L8" s="11" t="s">
        <v>67</v>
      </c>
      <c r="M8" s="11" t="s">
        <v>112</v>
      </c>
      <c r="N8" s="11" t="s">
        <v>22</v>
      </c>
      <c r="O8" s="11" t="s">
        <v>122</v>
      </c>
      <c r="P8" s="11" t="s">
        <v>123</v>
      </c>
    </row>
  </sheetData>
  <autoFilter ref="A1:P8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N2:N8</xm:sqref>
        </x14:conditionalFormatting>
        <x14:conditionalFormatting xmlns:xm="http://schemas.microsoft.com/office/excel/2006/main">
          <x14:cfRule type="cellIs" priority="3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N2:N8</xm:sqref>
        </x14:conditionalFormatting>
        <x14:conditionalFormatting xmlns:xm="http://schemas.microsoft.com/office/excel/2006/main">
          <x14:cfRule type="cellIs" priority="4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N2:N8</xm:sqref>
        </x14:conditionalFormatting>
        <x14:conditionalFormatting xmlns:xm="http://schemas.microsoft.com/office/excel/2006/main">
          <x14:cfRule type="cellIs" priority="2" aboveAverage="0" operator="equal" rank="0" text="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N5</xm:sqref>
        </x14:conditionalFormatting>
        <x14:conditionalFormatting xmlns:xm="http://schemas.microsoft.com/office/excel/2006/main">
          <x14:cfRule type="cellIs" priority="3" aboveAverage="0" operator="equal" rank="0" text="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N5</xm:sqref>
        </x14:conditionalFormatting>
        <x14:conditionalFormatting xmlns:xm="http://schemas.microsoft.com/office/excel/2006/main">
          <x14:cfRule type="cellIs" priority="4" aboveAverage="0" operator="equal" rank="0" text="">
            <xm:f>"Blocked"</xm:f>
            <x14:dxf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17A52E6C-F606-49FE-91FE-22B13D4AD23F}" type="list" allowBlank="1" errorStyle="stop" imeMode="noControl" operator="between" showDropDown="0" showErrorMessage="0" showInputMessage="0">
          <x14:formula1>
            <xm:f>"Not Run,Pass,Fail,Blocked,Skipped"</xm:f>
          </x14:formula1>
          <x14:formula2>
            <xm:f>0</xm:f>
          </x14:formula2>
          <xm:sqref>N2:N4 N6:N8</xm:sqref>
        </x14:dataValidation>
        <x14:dataValidation xr:uid="{36891995-F139-430C-A9F3-BB4D647711E1}" type="list" allowBlank="1" errorStyle="stop" imeMode="noControl" operator="between" showDropDown="0" showErrorMessage="0" showInputMessage="0">
          <x14:formula1>
            <xm:f>"Not Run,Pass,Fail,Blocked,Skipped"</xm:f>
          </x14:formula1>
          <x14:formula2>
            <xm:f>0</xm:f>
          </x14:formula2>
          <xm:sqref>N5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2</cp:revision>
  <dcterms:created xsi:type="dcterms:W3CDTF">2026-10-28T14:24:17Z</dcterms:created>
  <dcterms:modified xsi:type="dcterms:W3CDTF">2026-10-29T16:11:16Z</dcterms:modified>
</cp:coreProperties>
</file>