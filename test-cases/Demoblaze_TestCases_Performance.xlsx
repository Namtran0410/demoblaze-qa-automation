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2"/>
    <sheet name="Performance" sheetId="2" state="visible" r:id="rId3"/>
  </sheets>
  <definedNames>
    <definedName function="false" hidden="true" localSheetId="1" name="_xlnm._FilterDatabase" vbProcedure="false">Performance!$A$1:$P$8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<sst xmlns="http://schemas.openxmlformats.org/spreadsheetml/2006/main" count="167" uniqueCount="119">
  <si>
    <t xml:space="preserve">Demoblaze – Performance Test Cases (Login &amp; Cart)</t>
  </si>
  <si>
    <t xml:space="preserve">Application</t>
  </si>
  <si>
    <t xml:space="preserve">https://www.demoblaze.com/ (API: https://api.demoblaze.com)</t>
  </si>
  <si>
    <t xml:space="preserve">Scope</t>
  </si>
  <si>
    <t xml:space="preserve">Login, Cart – API latency under load + frontend Web Vitals</t>
  </si>
  <si>
    <t xml:space="preserve">Tool</t>
  </si>
  <si>
    <t xml:space="preserve">k6 (HTTP + k6/browser)</t>
  </si>
  <si>
    <t xml:space="preserve">Author</t>
  </si>
  <si>
    <t xml:space="preserve">Nolan Tran</t>
  </si>
  <si>
    <t xml:space="preserve">Version</t>
  </si>
  <si>
    <t xml:space="preserve">1.0</t>
  </si>
  <si>
    <t xml:space="preserve">Created</t>
  </si>
  <si>
    <t xml:space="preserve">2026-10-28</t>
  </si>
  <si>
    <t xml:space="preserve">Coverage</t>
  </si>
  <si>
    <t xml:space="preserve">Type</t>
  </si>
  <si>
    <t xml:space="preserve">Login</t>
  </si>
  <si>
    <t xml:space="preserve">Cart</t>
  </si>
  <si>
    <t xml:space="preserve">Total</t>
  </si>
  <si>
    <t xml:space="preserve">Smoke</t>
  </si>
  <si>
    <t xml:space="preserve">Load</t>
  </si>
  <si>
    <t xml:space="preserve">Web Vitals</t>
  </si>
  <si>
    <t xml:space="preserve">Execution status</t>
  </si>
  <si>
    <t xml:space="preserve">Pass</t>
  </si>
  <si>
    <t xml:space="preserve">Fail</t>
  </si>
  <si>
    <t xml:space="preserve">Blocked</t>
  </si>
  <si>
    <t xml:space="preserve">Not Run</t>
  </si>
  <si>
    <t xml:space="preserve">Pass rate</t>
  </si>
  <si>
    <t xml:space="preserve">Load profiles</t>
  </si>
  <si>
    <t xml:space="preserve">Profile</t>
  </si>
  <si>
    <t xml:space="preserve">Shape</t>
  </si>
  <si>
    <t xml:space="preserve">Purpose</t>
  </si>
  <si>
    <t xml:space="preserve">When it runs</t>
  </si>
  <si>
    <t xml:space="preserve">smoke</t>
  </si>
  <si>
    <t xml:space="preserve">1 VU, 1 min</t>
  </si>
  <si>
    <t xml:space="preserve">Sanity check that script and thresholds work</t>
  </si>
  <si>
    <t xml:space="preserve">Every push / MR</t>
  </si>
  <si>
    <t xml:space="preserve">load</t>
  </si>
  <si>
    <t xml:space="preserve">0→10 VUs (1 min), 10 VUs (3 min), 10→0 (1 min)</t>
  </si>
  <si>
    <t xml:space="preserve">Expected normal traffic</t>
  </si>
  <si>
    <t xml:space="preserve">Nightly / manual</t>
  </si>
  <si>
    <t xml:space="preserve">browser</t>
  </si>
  <si>
    <t xml:space="preserve">1 VU, 5 iterations, Chromium</t>
  </si>
  <si>
    <t xml:space="preserve">Frontend Web Vitals</t>
  </si>
  <si>
    <t xml:space="preserve">TC ID</t>
  </si>
  <si>
    <t xml:space="preserve">Feature</t>
  </si>
  <si>
    <t xml:space="preserve">Title</t>
  </si>
  <si>
    <t xml:space="preserve">Priority</t>
  </si>
  <si>
    <t xml:space="preserve">Target</t>
  </si>
  <si>
    <t xml:space="preserve">Preconditions</t>
  </si>
  <si>
    <t xml:space="preserve">Load Profile</t>
  </si>
  <si>
    <t xml:space="preserve">Test Flow</t>
  </si>
  <si>
    <t xml:space="preserve">Metrics</t>
  </si>
  <si>
    <t xml:space="preserve">Threshold (Pass criteria)</t>
  </si>
  <si>
    <t xml:space="preserve">Automation</t>
  </si>
  <si>
    <t xml:space="preserve">k6 Script</t>
  </si>
  <si>
    <t xml:space="preserve">Status</t>
  </si>
  <si>
    <t xml:space="preserve">Actual Result</t>
  </si>
  <si>
    <t xml:space="preserve">Notes</t>
  </si>
  <si>
    <t xml:space="preserve">PF-001</t>
  </si>
  <si>
    <t xml:space="preserve">Login API – smoke baseline</t>
  </si>
  <si>
    <t xml:space="preserve">High</t>
  </si>
  <si>
    <t xml:space="preserve">POST https://api.demoblaze.com/login</t>
  </si>
  <si>
    <t xml:space="preserve">Registered account created in setup()</t>
  </si>
  <si>
    <t xml:space="preserve">smoke: 1 VU, 1 min</t>
  </si>
  <si>
    <t xml:space="preserve">1. POST /login with valid credentials
2. Check body starts with 'Auth_token:'
3. Sleep 1s</t>
  </si>
  <si>
    <t xml:space="preserve">http_req_duration{name:login}
http_req_failed
checks</t>
  </si>
  <si>
    <t xml:space="preserve">P(95) &lt; 1800 ms
http_req_failed rate &lt; 1%
checks rate &gt; 99%</t>
  </si>
  <si>
    <t xml:space="preserve">k6</t>
  </si>
  <si>
    <t xml:space="preserve">tests/performance/scenarios/login.k6.ts</t>
  </si>
  <si>
    <t xml:space="preserve">pass</t>
  </si>
  <si>
    <t xml:space="preserve">    checks
    ✓ 'rate&gt;0.99' rate=100.00%
    http_req_duration{name:login}
    ✓ 'p(95)&lt;1800' p(95)=1.18s
    http_req_failed
    ✓ 'rate&lt;0.01' rate=0.00%
  █ TOTAL RESULTS 
    checks_total.......: 134     2.196415/s
    checks_succeeded...: 100.00% 134 out of 134
    checks_failed......: 0.00%   0 out of 134
    ✓ login status 200
    ✓ body got auth_token
    HTTP
    http_req_duration..............: avg=885ms    min=328.73ms med=1.07s max=1.24s p(90)=1.11s p(95)=1.17s
      { expected_response:true }...: avg=885ms    min=328.73ms med=1.07s max=1.24s p(90)=1.11s p(95)=1.17s
      { name:login }...............: avg=893.3ms  min=330.21ms med=1.07s max=1.24s p(90)=1.11s p(95)=1.18s
    http_req_failed................: 0.00% 0 out of 68
    http_reqs......................: 68    1.114598/s
    EXECUTION
    iteration_duration.............: avg=901.55ms min=330.55ms med=1.07s max=1.26s p(90)=1.12s p(95)=1.19s
    iterations.....................: 67    1.098207/s
    vus............................: 1     min=1       max=1
    vus_max........................: 1     min=1       max=1
    NETWORK
    data_received..................: 28 kB 452 B/s
    data_sent......................: 15 kB 251 B/s</t>
  </si>
  <si>
    <t xml:space="preserve">Runs on every push / MR</t>
  </si>
  <si>
    <t xml:space="preserve">PF-002</t>
  </si>
  <si>
    <t xml:space="preserve">Login API – load</t>
  </si>
  <si>
    <t xml:space="preserve">load: ramp 0→10 VUs 1 min, hold 10 VUs 3 min, ramp down 1 min</t>
  </si>
  <si>
    <t xml:space="preserve">1. POST /login with valid credentials
2. Check token returned
3. Sleep 1s</t>
  </si>
  <si>
    <t xml:space="preserve">http_req_duration{name:login}
http_req_failed
checks
http_reqs (throughput)</t>
  </si>
  <si>
    <t xml:space="preserve">checks_total.......: 1524    6.000765/s
    checks_succeeded...: 100.00% 1524 out of 1524
    checks_failed......: 0.00%   0 out of 1524
    ✓ login status 200
    ✓ body got auth_token
    HTTP
    http_req_duration..............: avg=619.08ms min=293.28ms med=411.2ms  max=9.63s  p(90)=1.03s p(95)=1.12s
      { expected_response:true }...: avg=619.08ms min=293.28ms med=411.2ms  max=9.63s  p(90)=1.03s p(95)=1.12s
      { name:login }...............: avg=614.57ms min=293.28ms med=410.46ms max=9.63s  p(90)=1.03s p(95)=1.12s
    http_req_failed................: 0.00%  0 out of 763
    http_reqs......................: 763    3.00432/s
    EXECUTION
    iteration_duration.............: avg=1.62s    min=1.29s    med=1.41s    max=10.63s p(90)=2.03s p(95)=2.12s
    iterations.....................: 762    3.000383/s
    vus............................: 1      min=0        max=10
    vus_max........................: 10     min=10       max=10
ê là 763 request nhỉ? thế total 1524 là sao ?</t>
  </si>
  <si>
    <t xml:space="preserve">Nightly / manual trigger</t>
  </si>
  <si>
    <t xml:space="preserve">PF-003</t>
  </si>
  <si>
    <t xml:space="preserve">Add to cart API – load</t>
  </si>
  <si>
    <t xml:space="preserve">POST https://api.demoblaze.com/addtocart</t>
  </si>
  <si>
    <t xml:space="preserve">Each VU uses its own guest cookie id</t>
  </si>
  <si>
    <t xml:space="preserve">1. POST /addtocart {id, cookie, prod_id, flag:false}
2. Check status 200
3. Sleep 1s</t>
  </si>
  <si>
    <t xml:space="preserve">http_req_duration{name:addtocart}
http_req_failed
checks</t>
  </si>
  <si>
    <t xml:space="preserve">tests/performance/scenarios/cart.k6.ts</t>
  </si>
  <si>
    <t xml:space="preserve">teardown() deletes created rows</t>
  </si>
  <si>
    <t xml:space="preserve">PF-004</t>
  </si>
  <si>
    <t xml:space="preserve">View cart API – load with 5 items</t>
  </si>
  <si>
    <t xml:space="preserve">Medium</t>
  </si>
  <si>
    <t xml:space="preserve">POST https://api.demoblaze.com/viewcart</t>
  </si>
  <si>
    <t xml:space="preserve">Each VU's guest cart seeded with 5 items in the first iteration</t>
  </si>
  <si>
    <t xml:space="preserve">1. POST /viewcart {cookie, flag:false}
2. Check Items length = 5
3. Sleep 1s</t>
  </si>
  <si>
    <t xml:space="preserve">http_req_duration{name:viewcart}
http_req_failed
checks</t>
  </si>
  <si>
    <t xml:space="preserve">PF-005</t>
  </si>
  <si>
    <t xml:space="preserve">Cart journey API – add → view → delete</t>
  </si>
  <si>
    <t xml:space="preserve">POST https://api.demoblaze.com/addtocart, /viewcart, /deleteitem</t>
  </si>
  <si>
    <t xml:space="preserve">1. POST /addtocart
2. POST /viewcart – check item present
3. POST /deleteitem
4. POST /viewcart – check item removed
5. Sleep 1s</t>
  </si>
  <si>
    <t xml:space="preserve">http_req_duration per endpoint
iteration_duration
http_req_failed
checks</t>
  </si>
  <si>
    <t xml:space="preserve">Each endpoint p(95) &lt; 1800 ms
iteration_duration p(95) &lt; 6000 ms
http_req_failed rate &lt; 1%
checks rate &gt; 99%</t>
  </si>
  <si>
    <t xml:space="preserve">Cart stays empty after each iteration</t>
  </si>
  <si>
    <t xml:space="preserve">PF-006</t>
  </si>
  <si>
    <t xml:space="preserve">Home page (login entry) – Web Vitals</t>
  </si>
  <si>
    <t xml:space="preserve">https://www.demoblaze.com/</t>
  </si>
  <si>
    <t xml:space="preserve">None</t>
  </si>
  <si>
    <t xml:space="preserve">browser: 1 VU, 5 iterations (Chromium)</t>
  </si>
  <si>
    <t xml:space="preserve">1. Open Home page
2. Wait for product cards
3. Open Log in modal</t>
  </si>
  <si>
    <t xml:space="preserve">browser_web_vital_lcp / fcp / cls / ttfb</t>
  </si>
  <si>
    <t xml:space="preserve">LCP p(75) &lt; 2500 ms
FCP p(75) &lt; 1800 ms
CLS p(75) &lt; 0.1
TTFB p(75) &lt; 800 ms</t>
  </si>
  <si>
    <t xml:space="preserve">tests/performance/scenarios/web-vitals.k6.ts</t>
  </si>
  <si>
    <t xml:space="preserve">Needs Chromium on the CI runner</t>
  </si>
  <si>
    <t xml:space="preserve">PF-007</t>
  </si>
  <si>
    <t xml:space="preserve">Cart page with 3 items – Web Vitals</t>
  </si>
  <si>
    <t xml:space="preserve">https://www.demoblaze.com/cart.html</t>
  </si>
  <si>
    <t xml:space="preserve">Guest cart seeded with 3 items via API before page load</t>
  </si>
  <si>
    <t xml:space="preserve">1. Seed cart via API
2. Open Cart page
3. Wait until 3 rows and Total are rendered</t>
  </si>
  <si>
    <t xml:space="preserve">browser_web_vital_lcp / fcp / cls / ttfb
cart_render_time (custom Trend)</t>
  </si>
  <si>
    <t xml:space="preserve">LCP p(75) &lt; 2500 ms
FCP p(75) &lt; 1800 ms
CLS p(75) &lt; 0.1
cart_render_time p(75) &lt; 4000 ms</t>
  </si>
  <si>
    <t xml:space="preserve">cart_render_time = navigation → last row visible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</si>
</sst>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3" colorId="64" zoomScale="69" zoomScaleNormal="69" zoomScalePageLayoutView="100" workbookViewId="0">
      <selection pane="topLeft" activeCell="E31" activeCellId="0" sqref="E31"/>
    </sheetView>
  </sheetViews>
  <sheetFormatPr defaultColWidth="8.63671875" defaultRowHeight="14.2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6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6" min="5" style="0" width="12"/>
  </cols>
  <sheetData>
    <row r="1" customFormat="false" ht="18" hidden="false" customHeight="false" outlineLevel="0" collapsed="false">
      <c r="A1" s="1" t="s">
        <v>0</v>
      </c>
    </row>
    <row r="3" customFormat="false" ht="14.25" hidden="false" customHeight="false" outlineLevel="0" collapsed="false">
      <c r="A3" s="2" t="s">
        <v>1</v>
      </c>
      <c r="B3" s="3" t="s">
        <v>2</v>
      </c>
    </row>
    <row r="4" customFormat="false" ht="14.25" hidden="false" customHeight="false" outlineLevel="0" collapsed="false">
      <c r="A4" s="2" t="s">
        <v>3</v>
      </c>
      <c r="B4" s="3" t="s">
        <v>4</v>
      </c>
    </row>
    <row r="5" customFormat="false" ht="14.25" hidden="false" customHeight="false" outlineLevel="0" collapsed="false">
      <c r="A5" s="2" t="s">
        <v>5</v>
      </c>
      <c r="B5" s="3" t="s">
        <v>6</v>
      </c>
    </row>
    <row r="6" customFormat="false" ht="14.25" hidden="false" customHeight="false" outlineLevel="0" collapsed="false">
      <c r="A6" s="2" t="s">
        <v>7</v>
      </c>
      <c r="B6" s="3" t="s">
        <v>8</v>
      </c>
    </row>
    <row r="7" customFormat="false" ht="14.25" hidden="false" customHeight="false" outlineLevel="0" collapsed="false">
      <c r="A7" s="2" t="s">
        <v>9</v>
      </c>
      <c r="B7" s="3" t="s">
        <v>10</v>
      </c>
    </row>
    <row r="8" customFormat="false" ht="14.25" hidden="false" customHeight="false" outlineLevel="0" collapsed="false">
      <c r="A8" s="2" t="s">
        <v>11</v>
      </c>
      <c r="B8" s="3" t="s">
        <v>12</v>
      </c>
    </row>
    <row r="10" customFormat="false" ht="14.25" hidden="false" customHeight="false" outlineLevel="0" collapsed="false">
      <c r="A10" s="4" t="s">
        <v>13</v>
      </c>
    </row>
    <row r="11" customFormat="false" ht="14.25" hidden="false" customHeight="false" outlineLevel="0" collapsed="false">
      <c r="A11" s="5" t="s">
        <v>14</v>
      </c>
      <c r="B11" s="5" t="s">
        <v>15</v>
      </c>
      <c r="C11" s="5" t="s">
        <v>16</v>
      </c>
      <c r="D11" s="5" t="s">
        <v>17</v>
      </c>
    </row>
    <row r="12" customFormat="false" ht="14.25" hidden="false" customHeight="false" outlineLevel="0" collapsed="false">
      <c r="A12" s="6" t="s">
        <v>18</v>
      </c>
      <c r="B12" s="7" t="n">
        <f aca="false">COUNTIFS(Performance!$D:$D,"Smoke",Performance!$B:$B,"Login")</f>
        <v>1</v>
      </c>
      <c r="C12" s="7" t="n">
        <f aca="false">COUNTIFS(Performance!$D:$D,"Smoke",Performance!$B:$B,"Cart")</f>
        <v>0</v>
      </c>
      <c r="D12" s="7" t="n">
        <f aca="false">SUM(B12:C12)</f>
        <v>1</v>
      </c>
    </row>
    <row r="13" customFormat="false" ht="14.25" hidden="false" customHeight="false" outlineLevel="0" collapsed="false">
      <c r="A13" s="6" t="s">
        <v>19</v>
      </c>
      <c r="B13" s="7" t="n">
        <f aca="false">COUNTIFS(Performance!$D:$D,"Load",Performance!$B:$B,"Login")</f>
        <v>1</v>
      </c>
      <c r="C13" s="7" t="n">
        <f aca="false">COUNTIFS(Performance!$D:$D,"Load",Performance!$B:$B,"Cart")</f>
        <v>3</v>
      </c>
      <c r="D13" s="7" t="n">
        <f aca="false">SUM(B13:C13)</f>
        <v>4</v>
      </c>
    </row>
    <row r="14" customFormat="false" ht="14.25" hidden="false" customHeight="false" outlineLevel="0" collapsed="false">
      <c r="A14" s="6" t="s">
        <v>20</v>
      </c>
      <c r="B14" s="7" t="n">
        <f aca="false">COUNTIFS(Performance!$D:$D,"Web Vitals",Performance!$B:$B,"Login")</f>
        <v>1</v>
      </c>
      <c r="C14" s="7" t="n">
        <f aca="false">COUNTIFS(Performance!$D:$D,"Web Vitals",Performance!$B:$B,"Cart")</f>
        <v>1</v>
      </c>
      <c r="D14" s="7" t="n">
        <f aca="false">SUM(B14:C14)</f>
        <v>2</v>
      </c>
    </row>
    <row r="15" customFormat="false" ht="14.25" hidden="false" customHeight="false" outlineLevel="0" collapsed="false">
      <c r="A15" s="8" t="s">
        <v>17</v>
      </c>
      <c r="B15" s="9" t="n">
        <f aca="false">SUM(B12:B14)</f>
        <v>3</v>
      </c>
      <c r="C15" s="9" t="n">
        <f aca="false">SUM(C12:C14)</f>
        <v>4</v>
      </c>
      <c r="D15" s="9" t="n">
        <f aca="false">SUM(D12:D14)</f>
        <v>7</v>
      </c>
    </row>
    <row r="17" customFormat="false" ht="14.25" hidden="false" customHeight="false" outlineLevel="0" collapsed="false">
      <c r="A17" s="4" t="s">
        <v>21</v>
      </c>
    </row>
    <row r="18" customFormat="false" ht="14.25" hidden="false" customHeight="false" outlineLevel="0" collapsed="false">
      <c r="A18" s="5" t="s">
        <v>22</v>
      </c>
      <c r="B18" s="5" t="s">
        <v>23</v>
      </c>
      <c r="C18" s="5" t="s">
        <v>24</v>
      </c>
      <c r="D18" s="5" t="s">
        <v>25</v>
      </c>
      <c r="E18" s="5" t="s">
        <v>26</v>
      </c>
    </row>
    <row r="19" customFormat="false" ht="14.25" hidden="false" customHeight="false" outlineLevel="0" collapsed="false">
      <c r="A19" s="7" t="n">
        <f aca="false">COUNTIF(Performance!$N:$N,"Pass")</f>
        <v>3</v>
      </c>
      <c r="B19" s="7" t="n">
        <f aca="false">COUNTIF(Performance!$N:$N,"Fail")</f>
        <v>0</v>
      </c>
      <c r="C19" s="7" t="n">
        <f aca="false">COUNTIF(Performance!$N:$N,"Blocked")</f>
        <v>0</v>
      </c>
      <c r="D19" s="7" t="n">
        <f aca="false">COUNTIF(Performance!$N:$N,"Not Run")</f>
        <v>4</v>
      </c>
      <c r="E19" s="10" t="n">
        <f aca="false">IFERROR(A19/(A19+B19+C19),0)</f>
        <v>1</v>
      </c>
    </row>
    <row r="21" customFormat="false" ht="14.25" hidden="false" customHeight="false" outlineLevel="0" collapsed="false">
      <c r="A21" s="4" t="s">
        <v>27</v>
      </c>
    </row>
    <row r="22" customFormat="false" ht="14.25" hidden="false" customHeight="false" outlineLevel="0" collapsed="false">
      <c r="A22" s="5" t="s">
        <v>28</v>
      </c>
      <c r="B22" s="5" t="s">
        <v>29</v>
      </c>
      <c r="C22" s="5" t="s">
        <v>30</v>
      </c>
      <c r="D22" s="5" t="s">
        <v>31</v>
      </c>
    </row>
    <row r="23" customFormat="false" ht="14.25" hidden="false" customHeight="false" outlineLevel="0" collapsed="false">
      <c r="A23" s="11" t="s">
        <v>32</v>
      </c>
      <c r="B23" s="11" t="s">
        <v>33</v>
      </c>
      <c r="C23" s="11" t="s">
        <v>34</v>
      </c>
      <c r="D23" s="11" t="s">
        <v>35</v>
      </c>
    </row>
    <row r="24" customFormat="false" ht="14.25" hidden="false" customHeight="false" outlineLevel="0" collapsed="false">
      <c r="A24" s="11" t="s">
        <v>36</v>
      </c>
      <c r="B24" s="11" t="s">
        <v>37</v>
      </c>
      <c r="C24" s="11" t="s">
        <v>38</v>
      </c>
      <c r="D24" s="11" t="s">
        <v>39</v>
      </c>
    </row>
    <row r="25" customFormat="false" ht="14.25" hidden="false" customHeight="false" outlineLevel="0" collapsed="false">
      <c r="A25" s="11" t="s">
        <v>40</v>
      </c>
      <c r="B25" s="11" t="s">
        <v>41</v>
      </c>
      <c r="C25" s="11" t="s">
        <v>42</v>
      </c>
      <c r="D25" s="1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8"/>
  <sheetViews>
    <sheetView showFormulas="false" showGridLines="true" showRowColHeaders="true" showZeros="true" rightToLeft="false" tabSelected="true" showOutlineSymbols="true" defaultGridColor="true" view="normal" topLeftCell="A1" colorId="64" zoomScale="69" zoomScaleNormal="69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G4" activeCellId="0" sqref="G4"/>
    </sheetView>
  </sheetViews>
  <sheetFormatPr defaultColWidth="8.63671875" defaultRowHeight="14.2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34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6" min="6" style="0" width="26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30.99"/>
    <col collapsed="false" customWidth="true" hidden="false" outlineLevel="0" max="10" min="10" style="0" width="28"/>
    <col collapsed="false" customWidth="true" hidden="false" outlineLevel="0" max="11" min="11" style="0" width="31.5"/>
    <col collapsed="false" customWidth="true" hidden="false" outlineLevel="0" max="12" min="12" style="0" width="11"/>
    <col collapsed="false" customWidth="true" hidden="false" outlineLevel="0" max="13" min="13" style="0" width="36"/>
    <col collapsed="false" customWidth="true" hidden="false" outlineLevel="0" max="14" min="14" style="0" width="11"/>
    <col collapsed="false" customWidth="true" hidden="false" outlineLevel="0" max="15" min="15" style="0" width="28"/>
    <col collapsed="false" customWidth="true" hidden="false" outlineLevel="0" max="16" min="16" style="0" width="30"/>
  </cols>
  <sheetData>
    <row r="1" customFormat="false" ht="24.6" hidden="false" customHeight="true" outlineLevel="0" collapsed="false">
      <c r="A1" s="5" t="s">
        <v>43</v>
      </c>
      <c r="B1" s="5" t="s">
        <v>44</v>
      </c>
      <c r="C1" s="5" t="s">
        <v>45</v>
      </c>
      <c r="D1" s="5" t="s">
        <v>14</v>
      </c>
      <c r="E1" s="5" t="s">
        <v>46</v>
      </c>
      <c r="F1" s="5" t="s">
        <v>47</v>
      </c>
      <c r="G1" s="5" t="s">
        <v>48</v>
      </c>
      <c r="H1" s="5" t="s">
        <v>49</v>
      </c>
      <c r="I1" s="5" t="s">
        <v>50</v>
      </c>
      <c r="J1" s="5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</row>
    <row r="2" customFormat="false" ht="73.1" hidden="false" customHeight="true" outlineLevel="0" collapsed="false">
      <c r="A2" s="11" t="s">
        <v>58</v>
      </c>
      <c r="B2" s="11" t="s">
        <v>15</v>
      </c>
      <c r="C2" s="11" t="s">
        <v>59</v>
      </c>
      <c r="D2" s="12" t="s">
        <v>18</v>
      </c>
      <c r="E2" s="11" t="s">
        <v>60</v>
      </c>
      <c r="F2" s="11" t="s">
        <v>61</v>
      </c>
      <c r="G2" s="11" t="s">
        <v>62</v>
      </c>
      <c r="H2" s="11" t="s">
        <v>63</v>
      </c>
      <c r="I2" s="11" t="s">
        <v>64</v>
      </c>
      <c r="J2" s="11" t="s">
        <v>65</v>
      </c>
      <c r="K2" s="11" t="s">
        <v>66</v>
      </c>
      <c r="L2" s="11" t="s">
        <v>67</v>
      </c>
      <c r="M2" s="11" t="s">
        <v>68</v>
      </c>
      <c r="N2" s="11" t="s">
        <v>69</v>
      </c>
      <c r="O2" s="11" t="s">
        <v>70</v>
      </c>
      <c r="P2" s="11" t="s">
        <v>71</v>
      </c>
    </row>
    <row r="3" customFormat="false" ht="99.5" hidden="false" customHeight="true" outlineLevel="0" collapsed="false">
      <c r="A3" s="11" t="s">
        <v>72</v>
      </c>
      <c r="B3" s="11" t="s">
        <v>15</v>
      </c>
      <c r="C3" s="11" t="s">
        <v>73</v>
      </c>
      <c r="D3" s="13" t="s">
        <v>19</v>
      </c>
      <c r="E3" s="11" t="s">
        <v>60</v>
      </c>
      <c r="F3" s="11" t="s">
        <v>61</v>
      </c>
      <c r="G3" s="11" t="s">
        <v>62</v>
      </c>
      <c r="H3" s="11" t="s">
        <v>74</v>
      </c>
      <c r="I3" s="11" t="s">
        <v>75</v>
      </c>
      <c r="J3" s="11" t="s">
        <v>76</v>
      </c>
      <c r="K3" s="11" t="s">
        <v>66</v>
      </c>
      <c r="L3" s="11" t="s">
        <v>67</v>
      </c>
      <c r="M3" s="11" t="s">
        <v>68</v>
      </c>
      <c r="N3" s="11" t="s">
        <v>69</v>
      </c>
      <c r="O3" s="11" t="s">
        <v>77</v>
      </c>
      <c r="P3" s="11" t="s">
        <v>78</v>
      </c>
    </row>
    <row r="4" customFormat="false" ht="46.25" hidden="false" customHeight="false" outlineLevel="0" collapsed="false">
      <c r="A4" s="11" t="s">
        <v>79</v>
      </c>
      <c r="B4" s="11" t="s">
        <v>16</v>
      </c>
      <c r="C4" s="11" t="s">
        <v>80</v>
      </c>
      <c r="D4" s="13" t="s">
        <v>19</v>
      </c>
      <c r="E4" s="11" t="s">
        <v>60</v>
      </c>
      <c r="F4" s="11" t="s">
        <v>81</v>
      </c>
      <c r="G4" s="11" t="s">
        <v>82</v>
      </c>
      <c r="H4" s="11" t="s">
        <v>74</v>
      </c>
      <c r="I4" s="11" t="s">
        <v>83</v>
      </c>
      <c r="J4" s="11" t="s">
        <v>84</v>
      </c>
      <c r="K4" s="11" t="s">
        <v>66</v>
      </c>
      <c r="L4" s="11" t="s">
        <v>67</v>
      </c>
      <c r="M4" s="11" t="s">
        <v>85</v>
      </c>
      <c r="N4" s="11" t="s">
        <v>69</v>
      </c>
      <c r="O4" s="11"/>
      <c r="P4" s="11" t="s">
        <v>86</v>
      </c>
    </row>
    <row r="5" customFormat="false" ht="33.5" hidden="false" customHeight="false" outlineLevel="0" collapsed="false">
      <c r="A5" s="11" t="s">
        <v>87</v>
      </c>
      <c r="B5" s="11" t="s">
        <v>16</v>
      </c>
      <c r="C5" s="11" t="s">
        <v>88</v>
      </c>
      <c r="D5" s="13" t="s">
        <v>19</v>
      </c>
      <c r="E5" s="11" t="s">
        <v>89</v>
      </c>
      <c r="F5" s="11" t="s">
        <v>90</v>
      </c>
      <c r="G5" s="11" t="s">
        <v>91</v>
      </c>
      <c r="H5" s="11" t="s">
        <v>74</v>
      </c>
      <c r="I5" s="11" t="s">
        <v>92</v>
      </c>
      <c r="J5" s="11" t="s">
        <v>93</v>
      </c>
      <c r="K5" s="11" t="s">
        <v>66</v>
      </c>
      <c r="L5" s="11" t="s">
        <v>67</v>
      </c>
      <c r="M5" s="11" t="s">
        <v>85</v>
      </c>
      <c r="N5" s="11" t="s">
        <v>25</v>
      </c>
      <c r="O5" s="11"/>
      <c r="P5" s="11"/>
    </row>
    <row r="6" customFormat="false" ht="56.2" hidden="false" customHeight="false" outlineLevel="0" collapsed="false">
      <c r="A6" s="11" t="s">
        <v>94</v>
      </c>
      <c r="B6" s="11" t="s">
        <v>16</v>
      </c>
      <c r="C6" s="11" t="s">
        <v>95</v>
      </c>
      <c r="D6" s="13" t="s">
        <v>19</v>
      </c>
      <c r="E6" s="11" t="s">
        <v>60</v>
      </c>
      <c r="F6" s="11" t="s">
        <v>96</v>
      </c>
      <c r="G6" s="11" t="s">
        <v>82</v>
      </c>
      <c r="H6" s="11" t="s">
        <v>74</v>
      </c>
      <c r="I6" s="11" t="s">
        <v>97</v>
      </c>
      <c r="J6" s="11" t="s">
        <v>98</v>
      </c>
      <c r="K6" s="11" t="s">
        <v>99</v>
      </c>
      <c r="L6" s="11" t="s">
        <v>67</v>
      </c>
      <c r="M6" s="11" t="s">
        <v>85</v>
      </c>
      <c r="N6" s="11" t="s">
        <v>25</v>
      </c>
      <c r="O6" s="11"/>
      <c r="P6" s="11" t="s">
        <v>100</v>
      </c>
    </row>
    <row r="7" customFormat="false" ht="49.5" hidden="false" customHeight="false" outlineLevel="0" collapsed="false">
      <c r="A7" s="11" t="s">
        <v>101</v>
      </c>
      <c r="B7" s="11" t="s">
        <v>15</v>
      </c>
      <c r="C7" s="11" t="s">
        <v>102</v>
      </c>
      <c r="D7" s="14" t="s">
        <v>20</v>
      </c>
      <c r="E7" s="11" t="s">
        <v>89</v>
      </c>
      <c r="F7" s="11" t="s">
        <v>103</v>
      </c>
      <c r="G7" s="11" t="s">
        <v>104</v>
      </c>
      <c r="H7" s="11" t="s">
        <v>105</v>
      </c>
      <c r="I7" s="11" t="s">
        <v>106</v>
      </c>
      <c r="J7" s="11" t="s">
        <v>107</v>
      </c>
      <c r="K7" s="11" t="s">
        <v>108</v>
      </c>
      <c r="L7" s="11" t="s">
        <v>67</v>
      </c>
      <c r="M7" s="11" t="s">
        <v>109</v>
      </c>
      <c r="N7" s="11" t="s">
        <v>25</v>
      </c>
      <c r="O7" s="11"/>
      <c r="P7" s="11" t="s">
        <v>110</v>
      </c>
    </row>
    <row r="8" customFormat="false" ht="49.5" hidden="false" customHeight="false" outlineLevel="0" collapsed="false">
      <c r="A8" s="11" t="s">
        <v>111</v>
      </c>
      <c r="B8" s="11" t="s">
        <v>16</v>
      </c>
      <c r="C8" s="11" t="s">
        <v>112</v>
      </c>
      <c r="D8" s="14" t="s">
        <v>20</v>
      </c>
      <c r="E8" s="11" t="s">
        <v>89</v>
      </c>
      <c r="F8" s="11" t="s">
        <v>113</v>
      </c>
      <c r="G8" s="11" t="s">
        <v>114</v>
      </c>
      <c r="H8" s="11" t="s">
        <v>105</v>
      </c>
      <c r="I8" s="11" t="s">
        <v>115</v>
      </c>
      <c r="J8" s="11" t="s">
        <v>116</v>
      </c>
      <c r="K8" s="11" t="s">
        <v>117</v>
      </c>
      <c r="L8" s="11" t="s">
        <v>67</v>
      </c>
      <c r="M8" s="11" t="s">
        <v>109</v>
      </c>
      <c r="N8" s="11" t="s">
        <v>25</v>
      </c>
      <c r="O8" s="11"/>
      <c r="P8" s="11" t="s">
        <v>118</v>
      </c>
    </row>
  </sheetData>
  <autoFilter ref="A1:P8"/>
  <conditionalFormatting sqref="N2:N8">
    <cfRule type="cellIs" priority="2" operator="equal" aboveAverage="0" equalAverage="0" bottom="0" percent="0" rank="0" text="" dxfId="7">
      <formula>"Pass"</formula>
    </cfRule>
    <cfRule type="cellIs" priority="3" operator="equal" aboveAverage="0" equalAverage="0" bottom="0" percent="0" rank="0" text="" dxfId="8">
      <formula>"Fail"</formula>
    </cfRule>
    <cfRule type="cellIs" priority="4" operator="equal" aboveAverage="0" equalAverage="0" bottom="0" percent="0" rank="0" text="" dxfId="9">
      <formula>"Blocked"</formula>
    </cfRule>
  </conditionalFormatting>
  <dataValidations count="1">
    <dataValidation allowBlank="true" errorStyle="stop" operator="between" showDropDown="false" showErrorMessage="false" showInputMessage="false" sqref="N2:N8" type="list">
      <formula1>"Not Run,Pass,Fail,Blocked,Skipped"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2026-10-28T14:24:17Z</dcterms:created>
  <dc:creator>openpyxl</dc:creator>
  <dc:description/>
  <dc:language>en-US</dc:language>
  <cp:lastModifiedBy/>
  <dcterms:modified xsi:type="dcterms:W3CDTF">2026-10-29T17:41:03Z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