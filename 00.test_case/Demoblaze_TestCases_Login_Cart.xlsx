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Login" sheetId="2" state="visible" r:id="rId2"/>
    <sheet name="Cart" sheetId="3" state="visible" r:id="rId3"/>
    <sheet name="Order" sheetId="4" state="visible" r:id="rId4"/>
  </sheets>
  <definedNames>
    <definedName name="_xlnm._FilterDatabase" localSheetId="1" hidden="1">'Login'!$A$1:$O$26</definedName>
    <definedName name="_xlnm._FilterDatabase" localSheetId="2" hidden="1">'Cart'!$A$1:$O$19</definedName>
    <definedName name="_xlnm._FilterDatabase" localSheetId="3" hidden="1">'Order'!$A$1:$O$15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1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center" vertical="bottom"/>
    </xf>
    <xf numFmtId="0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center" vertical="bottom"/>
    </xf>
    <xf numFmtId="0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14" customWidth="1" style="16" min="2" max="6"/>
  </cols>
  <sheetData>
    <row r="1" ht="17.35" customHeight="1" s="17">
      <c r="A1" s="18" t="inlineStr">
        <is>
          <t>Demoblaze – Test Case Suite (Login, Cart &amp; Order)</t>
        </is>
      </c>
    </row>
    <row r="3" ht="15" customHeight="1" s="17">
      <c r="A3" s="19" t="inlineStr">
        <is>
          <t>Application</t>
        </is>
      </c>
      <c r="B3" s="20" t="inlineStr">
        <is>
          <t>https://www.demoblaze.com/</t>
        </is>
      </c>
    </row>
    <row r="4" ht="15" customHeight="1" s="17">
      <c r="A4" s="19" t="inlineStr">
        <is>
          <t>Scope</t>
        </is>
      </c>
      <c r="B4" s="20" t="inlineStr">
        <is>
          <t>Login, Cart, Order (Place Order from cart)</t>
        </is>
      </c>
    </row>
    <row r="5" ht="15" customHeight="1" s="17">
      <c r="A5" s="19" t="inlineStr">
        <is>
          <t>Author</t>
        </is>
      </c>
      <c r="B5" s="20" t="inlineStr">
        <is>
          <t>Nolan Tran</t>
        </is>
      </c>
    </row>
    <row r="6" ht="15" customHeight="1" s="17">
      <c r="A6" s="19" t="inlineStr">
        <is>
          <t>Version</t>
        </is>
      </c>
      <c r="B6" s="20" t="inlineStr">
        <is>
          <t>1.0</t>
        </is>
      </c>
    </row>
    <row r="7" ht="15" customHeight="1" s="17">
      <c r="A7" s="19" t="inlineStr">
        <is>
          <t>Created</t>
        </is>
      </c>
      <c r="B7" s="20" t="inlineStr">
        <is>
          <t>2026-10-25</t>
        </is>
      </c>
    </row>
    <row r="10" ht="15" customHeight="1" s="17">
      <c r="A10" s="21" t="inlineStr">
        <is>
          <t>Feature</t>
        </is>
      </c>
      <c r="B10" s="21" t="inlineStr">
        <is>
          <t>Functional</t>
        </is>
      </c>
      <c r="C10" s="21" t="inlineStr">
        <is>
          <t>Negative</t>
        </is>
      </c>
      <c r="D10" s="21" t="inlineStr">
        <is>
          <t>Edge</t>
        </is>
      </c>
      <c r="E10" s="21" t="inlineStr">
        <is>
          <t>Total</t>
        </is>
      </c>
      <c r="F10" s="21" t="inlineStr">
        <is>
          <t>Automated</t>
        </is>
      </c>
    </row>
    <row r="11" ht="15" customHeight="1" s="17">
      <c r="A11" s="22" t="inlineStr">
        <is>
          <t>Login</t>
        </is>
      </c>
      <c r="B11" s="23">
        <f>COUNTIF(Login!$E:$E,"Functional")</f>
        <v/>
      </c>
      <c r="C11" s="23">
        <f>COUNTIF(Login!$E:$E,"Negative")</f>
        <v/>
      </c>
      <c r="D11" s="23">
        <f>COUNTIF(Login!$E:$E,"Edge")</f>
        <v/>
      </c>
      <c r="E11" s="23">
        <f>SUM(B11:D11)</f>
        <v/>
      </c>
      <c r="F11" s="23">
        <f>COUNTA(Login!$A:$A)-1-COUNTIF(Login!$K:$K,"Manual")</f>
        <v/>
      </c>
    </row>
    <row r="12" ht="15" customHeight="1" s="17">
      <c r="A12" s="22" t="inlineStr">
        <is>
          <t>Cart</t>
        </is>
      </c>
      <c r="B12" s="23">
        <f>COUNTIF(Cart!$E:$E,"Functional")</f>
        <v/>
      </c>
      <c r="C12" s="23">
        <f>COUNTIF(Cart!$E:$E,"Negative")</f>
        <v/>
      </c>
      <c r="D12" s="23">
        <f>COUNTIF(Cart!$E:$E,"Edge")</f>
        <v/>
      </c>
      <c r="E12" s="23">
        <f>SUM(B12:D12)</f>
        <v/>
      </c>
      <c r="F12" s="23">
        <f>COUNTA(Cart!$A:$A)-1-COUNTIF(Cart!$K:$K,"Manual")</f>
        <v/>
      </c>
    </row>
    <row r="13" ht="15" customHeight="1" s="17">
      <c r="A13" s="22" t="inlineStr">
        <is>
          <t>Order</t>
        </is>
      </c>
      <c r="B13" s="23">
        <f>COUNTIF(Order!$E:$E,"Functional")</f>
        <v/>
      </c>
      <c r="C13" s="23">
        <f>COUNTIF(Order!$E:$E,"Negative")</f>
        <v/>
      </c>
      <c r="D13" s="23">
        <f>COUNTIF(Order!$E:$E,"Edge")</f>
        <v/>
      </c>
      <c r="E13" s="23">
        <f>SUM(B13:D13)</f>
        <v/>
      </c>
      <c r="F13" s="23">
        <f>COUNTA(Order!$A:$A)-1-COUNTIF(Order!$K:$K,"Manual")</f>
        <v/>
      </c>
    </row>
    <row r="14" ht="15" customHeight="1" s="17">
      <c r="A14" s="24" t="inlineStr">
        <is>
          <t>Total</t>
        </is>
      </c>
      <c r="B14" s="25">
        <f>SUM(B11:B13)</f>
        <v/>
      </c>
      <c r="C14" s="25">
        <f>SUM(C11:C13)</f>
        <v/>
      </c>
      <c r="D14" s="25">
        <f>SUM(D11:D13)</f>
        <v/>
      </c>
      <c r="E14" s="25">
        <f>SUM(E11:E13)</f>
        <v/>
      </c>
      <c r="F14" s="25">
        <f>SUM(F11:F13)</f>
        <v/>
      </c>
    </row>
    <row r="15" s="17"/>
    <row r="16" ht="15" customHeight="1" s="17">
      <c r="A16" s="26" t="inlineStr">
        <is>
          <t>Execution status</t>
        </is>
      </c>
    </row>
    <row r="17" ht="15" customHeight="1" s="17">
      <c r="A17" s="21" t="inlineStr">
        <is>
          <t>Feature</t>
        </is>
      </c>
      <c r="B17" s="21" t="inlineStr">
        <is>
          <t>Pass</t>
        </is>
      </c>
      <c r="C17" s="21" t="inlineStr">
        <is>
          <t>Fail</t>
        </is>
      </c>
      <c r="D17" s="21" t="inlineStr">
        <is>
          <t>Blocked</t>
        </is>
      </c>
      <c r="E17" s="21" t="inlineStr">
        <is>
          <t>Not Run</t>
        </is>
      </c>
      <c r="F17" s="21" t="inlineStr">
        <is>
          <t>Pass rate</t>
        </is>
      </c>
    </row>
    <row r="18" ht="15" customHeight="1" s="17">
      <c r="A18" s="22" t="inlineStr">
        <is>
          <t>Login</t>
        </is>
      </c>
      <c r="B18" s="23">
        <f>COUNTIF(Login!$M:$M,"Pass")</f>
        <v/>
      </c>
      <c r="C18" s="23">
        <f>COUNTIF(Login!$M:$M,"Fail")</f>
        <v/>
      </c>
      <c r="D18" s="23">
        <f>COUNTIF(Login!$M:$M,"Blocked")</f>
        <v/>
      </c>
      <c r="E18" s="23">
        <f>COUNTIF(Login!$M:$M,"Not Run")</f>
        <v/>
      </c>
      <c r="F18" s="27">
        <f>IFERROR(B18/(B18+C18+D18),0)</f>
        <v/>
      </c>
    </row>
    <row r="19" ht="15" customHeight="1" s="17">
      <c r="A19" s="22" t="inlineStr">
        <is>
          <t>Cart</t>
        </is>
      </c>
      <c r="B19" s="23">
        <f>COUNTIF(Cart!$M:$M,"Pass")</f>
        <v/>
      </c>
      <c r="C19" s="23">
        <f>COUNTIF(Cart!$M:$M,"Fail")</f>
        <v/>
      </c>
      <c r="D19" s="23">
        <f>COUNTIF(Cart!$M:$M,"Blocked")</f>
        <v/>
      </c>
      <c r="E19" s="23">
        <f>COUNTIF(Cart!$M:$M,"Not Run")</f>
        <v/>
      </c>
      <c r="F19" s="27">
        <f>IFERROR(B19/(B19+C19+D19),0)</f>
        <v/>
      </c>
    </row>
    <row r="20" ht="15" customHeight="1" s="17">
      <c r="A20" s="22" t="inlineStr">
        <is>
          <t>Order</t>
        </is>
      </c>
      <c r="B20" s="23">
        <f>COUNTIF(Order!$M:$M,"Pass")</f>
        <v/>
      </c>
      <c r="C20" s="23">
        <f>COUNTIF(Order!$M:$M,"Fail")</f>
        <v/>
      </c>
      <c r="D20" s="23">
        <f>COUNTIF(Order!$M:$M,"Blocked")</f>
        <v/>
      </c>
      <c r="E20" s="23">
        <f>COUNTIF(Order!$M:$M,"Not Run")</f>
        <v/>
      </c>
      <c r="F20" s="27">
        <f>IFERROR(B20/(B20+C20+D20),0)</f>
        <v/>
      </c>
    </row>
    <row r="21" ht="15" customHeight="1" s="17"/>
    <row r="22" ht="15" customHeight="1" s="17">
      <c r="A22" s="26" t="inlineStr">
        <is>
          <t>How to use</t>
        </is>
      </c>
    </row>
    <row r="23" ht="15" customHeight="1" s="17">
      <c r="A23" s="20" t="inlineStr">
        <is>
          <t>• Fill 'Status' (column M, dropdown) and 'Actual Result' (column N) in the Login / Cart / Order sheets during execution.</t>
        </is>
      </c>
    </row>
    <row r="24" ht="15" customHeight="1" s="17">
      <c r="A24" s="20" t="inlineStr">
        <is>
          <t>• Counts and pass rate on this sheet update automatically from those columns.</t>
        </is>
      </c>
    </row>
    <row r="25" ht="15" customHeight="1" s="17">
      <c r="A25" s="20" t="inlineStr">
        <is>
          <t>• Type colours: green = Functional, orange = Negative, yellow = Edge.</t>
        </is>
      </c>
    </row>
    <row r="26" ht="15" customHeight="1" s="17">
      <c r="A26" s="20" t="inlineStr">
        <is>
          <t>• 'Planned Spec' = Playwright spec that automates the case; the TC ID is the prefix of the test title (e.g. 'LG-002 ...').</t>
        </is>
      </c>
    </row>
    <row r="27" ht="15" customHeight="1" s="17">
      <c r="A27" s="20" t="inlineStr">
        <is>
          <t>• &lt;TEST_USERNAME&gt;/&lt;TEST_PASSWORD&gt; = account from .env; the framework creates one automatically if not set.</t>
        </is>
      </c>
    </row>
    <row r="28" ht="15" customHeight="1" s="17">
      <c r="A28" s="20" t="inlineStr">
        <is>
          <t>• Notes 'Confirm with BA' mark expected results where the business rule is not documented by the app.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6" min="1" max="1"/>
    <col width="9" customWidth="1" style="16" min="2" max="2"/>
    <col width="16" customWidth="1" style="16" min="3" max="3"/>
    <col width="38" customWidth="1" style="16" min="4" max="4"/>
    <col width="11" customWidth="1" style="16" min="5" max="5"/>
    <col width="9" customWidth="1" style="16" min="6" max="6"/>
    <col width="30" customWidth="1" style="16" min="7" max="8"/>
    <col width="52" customWidth="1" style="16" min="9" max="10"/>
    <col width="11" customWidth="1" style="16" min="11" max="11"/>
    <col width="34" customWidth="1" style="16" min="12" max="12"/>
    <col width="11" customWidth="1" style="16" min="13" max="13"/>
    <col width="28" customWidth="1" style="16" min="14" max="14"/>
    <col width="34" customWidth="1" style="16" min="15" max="15"/>
  </cols>
  <sheetData>
    <row r="1" ht="23.85" customHeight="1" s="17">
      <c r="A1" s="28" t="inlineStr">
        <is>
          <t>TC ID</t>
        </is>
      </c>
      <c r="B1" s="28" t="inlineStr">
        <is>
          <t>Feature</t>
        </is>
      </c>
      <c r="C1" s="28" t="inlineStr">
        <is>
          <t>Sub-feature</t>
        </is>
      </c>
      <c r="D1" s="28" t="inlineStr">
        <is>
          <t>Title</t>
        </is>
      </c>
      <c r="E1" s="28" t="inlineStr">
        <is>
          <t>Type</t>
        </is>
      </c>
      <c r="F1" s="28" t="inlineStr">
        <is>
          <t>Priority</t>
        </is>
      </c>
      <c r="G1" s="28" t="inlineStr">
        <is>
          <t>Preconditions</t>
        </is>
      </c>
      <c r="H1" s="28" t="inlineStr">
        <is>
          <t>Test Data</t>
        </is>
      </c>
      <c r="I1" s="28" t="inlineStr">
        <is>
          <t>Test Steps</t>
        </is>
      </c>
      <c r="J1" s="28" t="inlineStr">
        <is>
          <t>Expected Result</t>
        </is>
      </c>
      <c r="K1" s="28" t="inlineStr">
        <is>
          <t>Automation</t>
        </is>
      </c>
      <c r="L1" s="28" t="inlineStr">
        <is>
          <t>Planned Spec</t>
        </is>
      </c>
      <c r="M1" s="28" t="inlineStr">
        <is>
          <t>Status</t>
        </is>
      </c>
      <c r="N1" s="28" t="inlineStr">
        <is>
          <t>Actual Result</t>
        </is>
      </c>
      <c r="O1" s="28" t="inlineStr">
        <is>
          <t>Notes</t>
        </is>
      </c>
    </row>
    <row r="2" ht="35.05" customHeight="1" s="17">
      <c r="A2" s="29" t="inlineStr">
        <is>
          <t>LG-001</t>
        </is>
      </c>
      <c r="B2" s="29" t="inlineStr">
        <is>
          <t>Login</t>
        </is>
      </c>
      <c r="C2" s="29" t="inlineStr">
        <is>
          <t>Login modal</t>
        </is>
      </c>
      <c r="D2" s="29" t="inlineStr">
        <is>
          <t>Login modal opens from navbar</t>
        </is>
      </c>
      <c r="E2" s="30" t="inlineStr">
        <is>
          <t>Functional</t>
        </is>
      </c>
      <c r="F2" s="29" t="inlineStr">
        <is>
          <t>High</t>
        </is>
      </c>
      <c r="G2" s="29" t="inlineStr">
        <is>
          <t>Browser open at https://www.demoblaze.com/
User is NOT logged in</t>
        </is>
      </c>
      <c r="H2" s="29" t="inlineStr">
        <is>
          <t>N/A</t>
        </is>
      </c>
      <c r="I2" s="29" t="inlineStr">
        <is>
          <t>1. Click 'Log in' in the navbar</t>
        </is>
      </c>
      <c r="J2" s="29" t="inlineStr">
        <is>
          <t>Login modal is displayed with title 'Log in', Username field, Password field, 'Close' and 'Log in' buttons</t>
        </is>
      </c>
      <c r="K2" s="29" t="inlineStr">
        <is>
          <t>UI</t>
        </is>
      </c>
      <c r="L2" s="29" t="inlineStr">
        <is>
          <t>02.test/01.e2e/01.login/00.login.modal.spec.ts</t>
        </is>
      </c>
      <c r="M2" s="29" t="inlineStr">
        <is>
          <t>Not Run</t>
        </is>
      </c>
      <c r="N2" s="29" t="n"/>
      <c r="O2" s="29" t="n"/>
    </row>
    <row r="3" ht="46.25" customHeight="1" s="17">
      <c r="A3" s="29" t="inlineStr">
        <is>
          <t>LG-002</t>
        </is>
      </c>
      <c r="B3" s="29" t="inlineStr">
        <is>
          <t>Login</t>
        </is>
      </c>
      <c r="C3" s="29" t="inlineStr">
        <is>
          <t>Authentication</t>
        </is>
      </c>
      <c r="D3" s="29" t="inlineStr">
        <is>
          <t>Login with valid credentials</t>
        </is>
      </c>
      <c r="E3" s="30" t="inlineStr">
        <is>
          <t>Functional</t>
        </is>
      </c>
      <c r="F3" s="29" t="inlineStr">
        <is>
          <t>Critical</t>
        </is>
      </c>
      <c r="G3" s="29" t="inlineStr">
        <is>
          <t>A registered account exists (TEST_USERNAME / TEST_PASSWORD)
User is NOT logged in</t>
        </is>
      </c>
      <c r="H3" s="29" t="inlineStr">
        <is>
          <t>Username: &lt;TEST_USERNAME&gt;
Password: &lt;TEST_PASSWORD&gt;</t>
        </is>
      </c>
      <c r="I3" s="29" t="inlineStr">
        <is>
          <t>1. Click 'Log in'
2. Enter valid username
3. Enter valid password
4. Click 'Log in' button</t>
        </is>
      </c>
      <c r="J3" s="29" t="inlineStr">
        <is>
          <t>No error alert
Modal closes
Navbar shows 'Welcome &lt;username&gt;'
'Log out' is visible; 'Log in' and 'Sign up' are hidden</t>
        </is>
      </c>
      <c r="K3" s="29" t="inlineStr">
        <is>
          <t>UI</t>
        </is>
      </c>
      <c r="L3" s="29" t="inlineStr">
        <is>
          <t>02.test/01.e2e/01.login/01.authentication.spec.ts</t>
        </is>
      </c>
      <c r="M3" s="29" t="inlineStr">
        <is>
          <t>Not Run</t>
        </is>
      </c>
      <c r="N3" s="29" t="n"/>
      <c r="O3" s="29" t="n"/>
    </row>
    <row r="4" ht="23.85" customHeight="1" s="17">
      <c r="A4" s="29" t="inlineStr">
        <is>
          <t>LG-003</t>
        </is>
      </c>
      <c r="B4" s="29" t="inlineStr">
        <is>
          <t>Login</t>
        </is>
      </c>
      <c r="C4" s="29" t="inlineStr">
        <is>
          <t>Session</t>
        </is>
      </c>
      <c r="D4" s="29" t="inlineStr">
        <is>
          <t>Session persists after page reload</t>
        </is>
      </c>
      <c r="E4" s="30" t="inlineStr">
        <is>
          <t>Functional</t>
        </is>
      </c>
      <c r="F4" s="29" t="inlineStr">
        <is>
          <t>High</t>
        </is>
      </c>
      <c r="G4" s="29" t="inlineStr">
        <is>
          <t>LG-002 completed</t>
        </is>
      </c>
      <c r="H4" s="29" t="inlineStr">
        <is>
          <t>N/A</t>
        </is>
      </c>
      <c r="I4" s="29" t="inlineStr">
        <is>
          <t>1. Log in successfully
2. Reload the page (F5)</t>
        </is>
      </c>
      <c r="J4" s="29" t="inlineStr">
        <is>
          <t>User remains logged in; 'Welcome &lt;username&gt;' still displayed</t>
        </is>
      </c>
      <c r="K4" s="29" t="inlineStr">
        <is>
          <t>UI</t>
        </is>
      </c>
      <c r="L4" s="29" t="inlineStr">
        <is>
          <t>02.test/01.e2e/01.login/04.session.spec.ts</t>
        </is>
      </c>
      <c r="M4" s="29" t="inlineStr">
        <is>
          <t>Not Run</t>
        </is>
      </c>
      <c r="N4" s="29" t="n"/>
      <c r="O4" s="29" t="n"/>
    </row>
    <row r="5" ht="46.25" customHeight="1" s="17">
      <c r="A5" s="29" t="inlineStr">
        <is>
          <t>LG-004</t>
        </is>
      </c>
      <c r="B5" s="29" t="inlineStr">
        <is>
          <t>Login</t>
        </is>
      </c>
      <c r="C5" s="29" t="inlineStr">
        <is>
          <t>Session</t>
        </is>
      </c>
      <c r="D5" s="29" t="inlineStr">
        <is>
          <t>Session persists across pages</t>
        </is>
      </c>
      <c r="E5" s="30" t="inlineStr">
        <is>
          <t>Functional</t>
        </is>
      </c>
      <c r="F5" s="29" t="inlineStr">
        <is>
          <t>Medium</t>
        </is>
      </c>
      <c r="G5" s="29" t="inlineStr">
        <is>
          <t>LG-002 completed</t>
        </is>
      </c>
      <c r="H5" s="29" t="inlineStr">
        <is>
          <t>N/A</t>
        </is>
      </c>
      <c r="I5" s="29" t="inlineStr">
        <is>
          <t>1. Log in successfully
2. Open a product page
3. Open Cart page
4. Return to Home</t>
        </is>
      </c>
      <c r="J5" s="29" t="inlineStr">
        <is>
          <t>'Welcome &lt;username&gt;' displayed on every page</t>
        </is>
      </c>
      <c r="K5" s="29" t="inlineStr">
        <is>
          <t>UI</t>
        </is>
      </c>
      <c r="L5" s="29" t="inlineStr">
        <is>
          <t>02.test/01.e2e/01.login/04.session.spec.ts</t>
        </is>
      </c>
      <c r="M5" s="29" t="inlineStr">
        <is>
          <t>Not Run</t>
        </is>
      </c>
      <c r="N5" s="29" t="n"/>
      <c r="O5" s="29" t="n"/>
    </row>
    <row r="6" ht="35.05" customHeight="1" s="17">
      <c r="A6" s="29" t="inlineStr">
        <is>
          <t>LG-005</t>
        </is>
      </c>
      <c r="B6" s="29" t="inlineStr">
        <is>
          <t>Login</t>
        </is>
      </c>
      <c r="C6" s="29" t="inlineStr">
        <is>
          <t>Logout</t>
        </is>
      </c>
      <c r="D6" s="29" t="inlineStr">
        <is>
          <t>Logout ends the session</t>
        </is>
      </c>
      <c r="E6" s="30" t="inlineStr">
        <is>
          <t>Functional</t>
        </is>
      </c>
      <c r="F6" s="29" t="inlineStr">
        <is>
          <t>Critical</t>
        </is>
      </c>
      <c r="G6" s="29" t="inlineStr">
        <is>
          <t>User is logged in</t>
        </is>
      </c>
      <c r="H6" s="29" t="inlineStr">
        <is>
          <t>N/A</t>
        </is>
      </c>
      <c r="I6" s="29" t="inlineStr">
        <is>
          <t>1. Click 'Log out'
2. Reload the page</t>
        </is>
      </c>
      <c r="J6" s="29" t="inlineStr">
        <is>
          <t>'Welcome &lt;username&gt;' and 'Log out' are hidden
'Log in' and 'Sign up' are visible
User stays logged out after reload</t>
        </is>
      </c>
      <c r="K6" s="29" t="inlineStr">
        <is>
          <t>UI</t>
        </is>
      </c>
      <c r="L6" s="29" t="inlineStr">
        <is>
          <t>02.test/01.e2e/01.login/04.session.spec.ts</t>
        </is>
      </c>
      <c r="M6" s="29" t="inlineStr">
        <is>
          <t>Not Run</t>
        </is>
      </c>
      <c r="N6" s="29" t="n"/>
      <c r="O6" s="29" t="n"/>
    </row>
    <row r="7" ht="35.05" customHeight="1" s="17">
      <c r="A7" s="29" t="inlineStr">
        <is>
          <t>LG-006</t>
        </is>
      </c>
      <c r="B7" s="29" t="inlineStr">
        <is>
          <t>Login</t>
        </is>
      </c>
      <c r="C7" s="29" t="inlineStr">
        <is>
          <t>Login modal</t>
        </is>
      </c>
      <c r="D7" s="29" t="inlineStr">
        <is>
          <t>Close modal without logging in</t>
        </is>
      </c>
      <c r="E7" s="30" t="inlineStr">
        <is>
          <t>Functional</t>
        </is>
      </c>
      <c r="F7" s="29" t="inlineStr">
        <is>
          <t>Low</t>
        </is>
      </c>
      <c r="G7" s="29" t="inlineStr">
        <is>
          <t>Browser open at https://www.demoblaze.com/
User is NOT logged in</t>
        </is>
      </c>
      <c r="H7" s="29" t="inlineStr">
        <is>
          <t>Username: &lt;TEST_USERNAME&gt;
Password: &lt;TEST_PASSWORD&gt;</t>
        </is>
      </c>
      <c r="I7" s="29" t="inlineStr">
        <is>
          <t>1. Click 'Log in'
2. Enter credentials
3. Click 'Close' (or X)</t>
        </is>
      </c>
      <c r="J7" s="29" t="inlineStr">
        <is>
          <t>Modal closes; no login request is sent; user remains logged out</t>
        </is>
      </c>
      <c r="K7" s="29" t="inlineStr">
        <is>
          <t>UI</t>
        </is>
      </c>
      <c r="L7" s="29" t="inlineStr">
        <is>
          <t>02.test/01.e2e/01.login/00.login.modal.spec.ts</t>
        </is>
      </c>
      <c r="M7" s="29" t="inlineStr">
        <is>
          <t>Not Run</t>
        </is>
      </c>
      <c r="N7" s="29" t="n"/>
      <c r="O7" s="29" t="n"/>
    </row>
    <row r="8" ht="35.05" customHeight="1" s="17">
      <c r="A8" s="29" t="inlineStr">
        <is>
          <t>LG-007</t>
        </is>
      </c>
      <c r="B8" s="29" t="inlineStr">
        <is>
          <t>Login</t>
        </is>
      </c>
      <c r="C8" s="29" t="inlineStr">
        <is>
          <t>Login modal</t>
        </is>
      </c>
      <c r="D8" s="29" t="inlineStr">
        <is>
          <t>Password input is masked</t>
        </is>
      </c>
      <c r="E8" s="30" t="inlineStr">
        <is>
          <t>Functional</t>
        </is>
      </c>
      <c r="F8" s="29" t="inlineStr">
        <is>
          <t>Medium</t>
        </is>
      </c>
      <c r="G8" s="29" t="inlineStr">
        <is>
          <t>Browser open at https://www.demoblaze.com/
User is NOT logged in</t>
        </is>
      </c>
      <c r="H8" s="29" t="inlineStr">
        <is>
          <t>Password: Secret123</t>
        </is>
      </c>
      <c r="I8" s="29" t="inlineStr">
        <is>
          <t>1. Click 'Log in'
2. Type a password</t>
        </is>
      </c>
      <c r="J8" s="29" t="inlineStr">
        <is>
          <t>Password field has type='password'; characters are masked</t>
        </is>
      </c>
      <c r="K8" s="29" t="inlineStr">
        <is>
          <t>UI</t>
        </is>
      </c>
      <c r="L8" s="29" t="inlineStr">
        <is>
          <t>02.test/01.e2e/01.login/00.login.modal.spec.ts</t>
        </is>
      </c>
      <c r="M8" s="29" t="inlineStr">
        <is>
          <t>Not Run</t>
        </is>
      </c>
      <c r="N8" s="29" t="n"/>
      <c r="O8" s="29" t="n"/>
    </row>
    <row r="9" ht="35.05" customHeight="1" s="17">
      <c r="A9" s="29" t="inlineStr">
        <is>
          <t>LG-008</t>
        </is>
      </c>
      <c r="B9" s="29" t="inlineStr">
        <is>
          <t>Login</t>
        </is>
      </c>
      <c r="C9" s="29" t="inlineStr">
        <is>
          <t>Authentication</t>
        </is>
      </c>
      <c r="D9" s="29" t="inlineStr">
        <is>
          <t>Login with Unicode / special-character username</t>
        </is>
      </c>
      <c r="E9" s="31" t="inlineStr">
        <is>
          <t>Edge</t>
        </is>
      </c>
      <c r="F9" s="29" t="inlineStr">
        <is>
          <t>Medium</t>
        </is>
      </c>
      <c r="G9" s="29" t="inlineStr">
        <is>
          <t>An account exists whose username contains Unicode and special characters</t>
        </is>
      </c>
      <c r="H9" s="29" t="inlineStr">
        <is>
          <t>Username: qa_ñgườidùng_#1
Password: &lt;valid&gt;</t>
        </is>
      </c>
      <c r="I9" s="29" t="inlineStr">
        <is>
          <t>1. Open Login modal
2. Enter the Unicode username and valid password
3. Click 'Log in'</t>
        </is>
      </c>
      <c r="J9" s="29" t="inlineStr">
        <is>
          <t>Login succeeds; 'Welcome &lt;username&gt;' renders the characters correctly</t>
        </is>
      </c>
      <c r="K9" s="29" t="inlineStr">
        <is>
          <t>UI</t>
        </is>
      </c>
      <c r="L9" s="29" t="inlineStr">
        <is>
          <t>02.test/01.e2e/01.login/01.authentication.spec.ts</t>
        </is>
      </c>
      <c r="M9" s="29" t="inlineStr">
        <is>
          <t>Not Run</t>
        </is>
      </c>
      <c r="N9" s="29" t="n"/>
      <c r="O9" s="29" t="inlineStr">
        <is>
          <t>Account is created via API in test setup</t>
        </is>
      </c>
    </row>
    <row r="10" ht="46.25" customHeight="1" s="17">
      <c r="A10" s="29" t="inlineStr">
        <is>
          <t>LG-009</t>
        </is>
      </c>
      <c r="B10" s="29" t="inlineStr">
        <is>
          <t>Login</t>
        </is>
      </c>
      <c r="C10" s="29" t="inlineStr">
        <is>
          <t>Authentication</t>
        </is>
      </c>
      <c r="D10" s="29" t="inlineStr">
        <is>
          <t>Login request does not send plain-text password</t>
        </is>
      </c>
      <c r="E10" s="31" t="inlineStr">
        <is>
          <t>Edge</t>
        </is>
      </c>
      <c r="F10" s="29" t="inlineStr">
        <is>
          <t>Medium</t>
        </is>
      </c>
      <c r="G10" s="29" t="inlineStr">
        <is>
          <t>A registered account exists (TEST_USERNAME / TEST_PASSWORD)
User is NOT logged in</t>
        </is>
      </c>
      <c r="H10" s="29" t="inlineStr">
        <is>
          <t>Valid credentials</t>
        </is>
      </c>
      <c r="I10" s="29" t="inlineStr">
        <is>
          <t>1. Open DevTools Network (or intercept request)
2. Log in
3. Inspect POST /login payload</t>
        </is>
      </c>
      <c r="J10" s="29" t="inlineStr">
        <is>
          <t>Payload 'password' field is not the plain-text password (it is encoded)</t>
        </is>
      </c>
      <c r="K10" s="29" t="inlineStr">
        <is>
          <t>UI</t>
        </is>
      </c>
      <c r="L10" s="29" t="inlineStr">
        <is>
          <t>02.test/01.e2e/01.login/03.security.spec.ts</t>
        </is>
      </c>
      <c r="M10" s="29" t="inlineStr">
        <is>
          <t>Not Run</t>
        </is>
      </c>
      <c r="N10" s="29" t="n"/>
      <c r="O10" s="29" t="inlineStr">
        <is>
          <t>Encoding is Base64, which is not encryption; transport security relies on HTTPS</t>
        </is>
      </c>
    </row>
    <row r="11" ht="35.05" customHeight="1" s="17">
      <c r="A11" s="29" t="inlineStr">
        <is>
          <t>LG-010</t>
        </is>
      </c>
      <c r="B11" s="29" t="inlineStr">
        <is>
          <t>Login</t>
        </is>
      </c>
      <c r="C11" s="29" t="inlineStr">
        <is>
          <t>Validation</t>
        </is>
      </c>
      <c r="D11" s="29" t="inlineStr">
        <is>
          <t>Login with empty username and password</t>
        </is>
      </c>
      <c r="E11" s="32" t="inlineStr">
        <is>
          <t>Negative</t>
        </is>
      </c>
      <c r="F11" s="29" t="inlineStr">
        <is>
          <t>High</t>
        </is>
      </c>
      <c r="G11" s="29" t="inlineStr">
        <is>
          <t>Browser open at https://www.demoblaze.com/
User is NOT logged in</t>
        </is>
      </c>
      <c r="H11" s="29" t="inlineStr">
        <is>
          <t>Username: (empty)
Password: (empty)</t>
        </is>
      </c>
      <c r="I11" s="29" t="inlineStr">
        <is>
          <t>1. Open Login modal
2. Leave both fields empty
3. Click 'Log in'</t>
        </is>
      </c>
      <c r="J11" s="29" t="inlineStr">
        <is>
          <t>Alert 'Please fill out Username and Password.' is shown; user not logged in</t>
        </is>
      </c>
      <c r="K11" s="29" t="inlineStr">
        <is>
          <t>UI</t>
        </is>
      </c>
      <c r="L11" s="29" t="inlineStr">
        <is>
          <t>02.test/01.e2e/01.login/02.validation.spec.ts</t>
        </is>
      </c>
      <c r="M11" s="29" t="inlineStr">
        <is>
          <t>Not Run</t>
        </is>
      </c>
      <c r="N11" s="29" t="n"/>
      <c r="O11" s="29" t="n"/>
    </row>
    <row r="12" ht="35.05" customHeight="1" s="17">
      <c r="A12" s="29" t="inlineStr">
        <is>
          <t>LG-011</t>
        </is>
      </c>
      <c r="B12" s="29" t="inlineStr">
        <is>
          <t>Login</t>
        </is>
      </c>
      <c r="C12" s="29" t="inlineStr">
        <is>
          <t>Validation</t>
        </is>
      </c>
      <c r="D12" s="29" t="inlineStr">
        <is>
          <t>Login with empty username</t>
        </is>
      </c>
      <c r="E12" s="32" t="inlineStr">
        <is>
          <t>Negative</t>
        </is>
      </c>
      <c r="F12" s="29" t="inlineStr">
        <is>
          <t>High</t>
        </is>
      </c>
      <c r="G12" s="29" t="inlineStr">
        <is>
          <t>Browser open at https://www.demoblaze.com/
User is NOT logged in</t>
        </is>
      </c>
      <c r="H12" s="29" t="inlineStr">
        <is>
          <t>Username: (empty)
Password: &lt;TEST_PASSWORD&gt;</t>
        </is>
      </c>
      <c r="I12" s="29" t="inlineStr">
        <is>
          <t>1. Open Login modal
2. Enter only password
3. Click 'Log in'</t>
        </is>
      </c>
      <c r="J12" s="29" t="inlineStr">
        <is>
          <t>Alert 'Please fill out Username and Password.' is shown; user not logged in</t>
        </is>
      </c>
      <c r="K12" s="29" t="inlineStr">
        <is>
          <t>UI</t>
        </is>
      </c>
      <c r="L12" s="29" t="inlineStr">
        <is>
          <t>02.test/01.e2e/01.login/02.validation.spec.ts</t>
        </is>
      </c>
      <c r="M12" s="29" t="inlineStr">
        <is>
          <t>Not Run</t>
        </is>
      </c>
      <c r="N12" s="29" t="n"/>
      <c r="O12" s="29" t="n"/>
    </row>
    <row r="13" ht="35.05" customHeight="1" s="17">
      <c r="A13" s="29" t="inlineStr">
        <is>
          <t>LG-012</t>
        </is>
      </c>
      <c r="B13" s="29" t="inlineStr">
        <is>
          <t>Login</t>
        </is>
      </c>
      <c r="C13" s="29" t="inlineStr">
        <is>
          <t>Validation</t>
        </is>
      </c>
      <c r="D13" s="29" t="inlineStr">
        <is>
          <t>Login with empty password</t>
        </is>
      </c>
      <c r="E13" s="32" t="inlineStr">
        <is>
          <t>Negative</t>
        </is>
      </c>
      <c r="F13" s="29" t="inlineStr">
        <is>
          <t>High</t>
        </is>
      </c>
      <c r="G13" s="29" t="inlineStr">
        <is>
          <t>Browser open at https://www.demoblaze.com/
User is NOT logged in</t>
        </is>
      </c>
      <c r="H13" s="29" t="inlineStr">
        <is>
          <t>Username: &lt;TEST_USERNAME&gt;
Password: (empty)</t>
        </is>
      </c>
      <c r="I13" s="29" t="inlineStr">
        <is>
          <t>1. Open Login modal
2. Enter only username
3. Click 'Log in'</t>
        </is>
      </c>
      <c r="J13" s="29" t="inlineStr">
        <is>
          <t>Alert 'Please fill out Username and Password.' is shown; user not logged in</t>
        </is>
      </c>
      <c r="K13" s="29" t="inlineStr">
        <is>
          <t>UI</t>
        </is>
      </c>
      <c r="L13" s="29" t="inlineStr">
        <is>
          <t>02.test/01.e2e/01.login/02.validation.spec.ts</t>
        </is>
      </c>
      <c r="M13" s="29" t="inlineStr">
        <is>
          <t>Not Run</t>
        </is>
      </c>
      <c r="N13" s="29" t="n"/>
      <c r="O13" s="29" t="n"/>
    </row>
    <row r="14" ht="46.25" customHeight="1" s="17">
      <c r="A14" s="29" t="inlineStr">
        <is>
          <t>LG-013</t>
        </is>
      </c>
      <c r="B14" s="29" t="inlineStr">
        <is>
          <t>Login</t>
        </is>
      </c>
      <c r="C14" s="29" t="inlineStr">
        <is>
          <t>Authentication</t>
        </is>
      </c>
      <c r="D14" s="29" t="inlineStr">
        <is>
          <t>Login with wrong password</t>
        </is>
      </c>
      <c r="E14" s="32" t="inlineStr">
        <is>
          <t>Negative</t>
        </is>
      </c>
      <c r="F14" s="29" t="inlineStr">
        <is>
          <t>Critical</t>
        </is>
      </c>
      <c r="G14" s="29" t="inlineStr">
        <is>
          <t>A registered account exists (TEST_USERNAME / TEST_PASSWORD)
User is NOT logged in</t>
        </is>
      </c>
      <c r="H14" s="29" t="inlineStr">
        <is>
          <t>Username: &lt;TEST_USERNAME&gt;
Password: WrongPass!123</t>
        </is>
      </c>
      <c r="I14" s="29" t="inlineStr">
        <is>
          <t>1. Open Login modal
2. Enter valid username, wrong password
3. Click 'Log in'</t>
        </is>
      </c>
      <c r="J14" s="29" t="inlineStr">
        <is>
          <t>Alert 'Wrong password.' is shown; user not logged in</t>
        </is>
      </c>
      <c r="K14" s="29" t="inlineStr">
        <is>
          <t>UI + API</t>
        </is>
      </c>
      <c r="L14" s="29" t="inlineStr">
        <is>
          <t>02.test/01.e2e/01.login/01.authentication.spec.ts
02.test/00.integration/01.auth.api.spec.ts</t>
        </is>
      </c>
      <c r="M14" s="29" t="inlineStr">
        <is>
          <t>Not Run</t>
        </is>
      </c>
      <c r="N14" s="29" t="n"/>
      <c r="O14" s="29" t="n"/>
    </row>
    <row r="15" ht="35.05" customHeight="1" s="17">
      <c r="A15" s="29" t="inlineStr">
        <is>
          <t>LG-014</t>
        </is>
      </c>
      <c r="B15" s="29" t="inlineStr">
        <is>
          <t>Login</t>
        </is>
      </c>
      <c r="C15" s="29" t="inlineStr">
        <is>
          <t>Authentication</t>
        </is>
      </c>
      <c r="D15" s="29" t="inlineStr">
        <is>
          <t>Login with non-existent username</t>
        </is>
      </c>
      <c r="E15" s="32" t="inlineStr">
        <is>
          <t>Negative</t>
        </is>
      </c>
      <c r="F15" s="29" t="inlineStr">
        <is>
          <t>Critical</t>
        </is>
      </c>
      <c r="G15" s="29" t="inlineStr">
        <is>
          <t>Browser open at https://www.demoblaze.com/
User is NOT logged in</t>
        </is>
      </c>
      <c r="H15" s="29" t="inlineStr">
        <is>
          <t>Username: nouser_&lt;timestamp&gt;
Password: any</t>
        </is>
      </c>
      <c r="I15" s="29" t="inlineStr">
        <is>
          <t>1. Open Login modal
2. Enter an unregistered username
3. Click 'Log in'</t>
        </is>
      </c>
      <c r="J15" s="29" t="inlineStr">
        <is>
          <t>Alert 'User does not exist.' is shown; user not logged in</t>
        </is>
      </c>
      <c r="K15" s="29" t="inlineStr">
        <is>
          <t>UI + API</t>
        </is>
      </c>
      <c r="L15" s="29" t="inlineStr">
        <is>
          <t>02.test/01.e2e/01.login/01.authentication.spec.ts
02.test/00.integration/01.auth.api.spec.ts</t>
        </is>
      </c>
      <c r="M15" s="29" t="inlineStr">
        <is>
          <t>Not Run</t>
        </is>
      </c>
      <c r="N15" s="29" t="n"/>
      <c r="O15" s="29" t="n"/>
    </row>
    <row r="16" ht="46.25" customHeight="1" s="17">
      <c r="A16" s="29" t="inlineStr">
        <is>
          <t>LG-015</t>
        </is>
      </c>
      <c r="B16" s="29" t="inlineStr">
        <is>
          <t>Login</t>
        </is>
      </c>
      <c r="C16" s="29" t="inlineStr">
        <is>
          <t>Authentication</t>
        </is>
      </c>
      <c r="D16" s="29" t="inlineStr">
        <is>
          <t>Password is case-sensitive</t>
        </is>
      </c>
      <c r="E16" s="32" t="inlineStr">
        <is>
          <t>Negative</t>
        </is>
      </c>
      <c r="F16" s="29" t="inlineStr">
        <is>
          <t>High</t>
        </is>
      </c>
      <c r="G16" s="29" t="inlineStr">
        <is>
          <t>A registered account exists (TEST_USERNAME / TEST_PASSWORD)
User is NOT logged in</t>
        </is>
      </c>
      <c r="H16" s="29" t="inlineStr">
        <is>
          <t>Username: &lt;TEST_USERNAME&gt;
Password: &lt;TEST_PASSWORD&gt; with inverted letter case</t>
        </is>
      </c>
      <c r="I16" s="29" t="inlineStr">
        <is>
          <t>1. Open Login modal
2. Enter valid username and password with changed case
3. Click 'Log in'</t>
        </is>
      </c>
      <c r="J16" s="29" t="inlineStr">
        <is>
          <t>Alert 'Wrong password.' is shown; user not logged in</t>
        </is>
      </c>
      <c r="K16" s="29" t="inlineStr">
        <is>
          <t>UI</t>
        </is>
      </c>
      <c r="L16" s="29" t="inlineStr">
        <is>
          <t>02.test/01.e2e/01.login/01.authentication.spec.ts</t>
        </is>
      </c>
      <c r="M16" s="29" t="inlineStr">
        <is>
          <t>Not Run</t>
        </is>
      </c>
      <c r="N16" s="29" t="n"/>
      <c r="O16" s="29" t="n"/>
    </row>
    <row r="17" ht="35.05" customHeight="1" s="17">
      <c r="A17" s="29" t="inlineStr">
        <is>
          <t>LG-016</t>
        </is>
      </c>
      <c r="B17" s="29" t="inlineStr">
        <is>
          <t>Login</t>
        </is>
      </c>
      <c r="C17" s="29" t="inlineStr">
        <is>
          <t>Validation</t>
        </is>
      </c>
      <c r="D17" s="29" t="inlineStr">
        <is>
          <t>Whitespace-only username and password</t>
        </is>
      </c>
      <c r="E17" s="32" t="inlineStr">
        <is>
          <t>Negative</t>
        </is>
      </c>
      <c r="F17" s="29" t="inlineStr">
        <is>
          <t>Medium</t>
        </is>
      </c>
      <c r="G17" s="29" t="inlineStr">
        <is>
          <t>Browser open at https://www.demoblaze.com/
User is NOT logged in</t>
        </is>
      </c>
      <c r="H17" s="29" t="inlineStr">
        <is>
          <t>Username: '   '
Password: '   '</t>
        </is>
      </c>
      <c r="I17" s="29" t="inlineStr">
        <is>
          <t>1. Open Login modal
2. Enter only spaces in both fields
3. Click 'Log in'</t>
        </is>
      </c>
      <c r="J17" s="29" t="inlineStr">
        <is>
          <t>Input treated as empty: validation alert shown, no login request is accepted; user not logged in</t>
        </is>
      </c>
      <c r="K17" s="29" t="inlineStr">
        <is>
          <t>UI</t>
        </is>
      </c>
      <c r="L17" s="29" t="inlineStr">
        <is>
          <t>02.test/01.e2e/01.login/02.validation.spec.ts</t>
        </is>
      </c>
      <c r="M17" s="29" t="inlineStr">
        <is>
          <t>Not Run</t>
        </is>
      </c>
      <c r="N17" s="29" t="n"/>
      <c r="O17" s="29" t="inlineStr">
        <is>
          <t>Confirm trimming rule with BA</t>
        </is>
      </c>
    </row>
    <row r="18" ht="35.05" customHeight="1" s="17">
      <c r="A18" s="29" t="inlineStr">
        <is>
          <t>LG-017</t>
        </is>
      </c>
      <c r="B18" s="29" t="inlineStr">
        <is>
          <t>Login</t>
        </is>
      </c>
      <c r="C18" s="29" t="inlineStr">
        <is>
          <t>Security</t>
        </is>
      </c>
      <c r="D18" s="29" t="inlineStr">
        <is>
          <t>SQL injection string in username</t>
        </is>
      </c>
      <c r="E18" s="32" t="inlineStr">
        <is>
          <t>Negative</t>
        </is>
      </c>
      <c r="F18" s="29" t="inlineStr">
        <is>
          <t>High</t>
        </is>
      </c>
      <c r="G18" s="29" t="inlineStr">
        <is>
          <t>Browser open at https://www.demoblaze.com/
User is NOT logged in</t>
        </is>
      </c>
      <c r="H18" s="29" t="inlineStr">
        <is>
          <t>Username: ' OR '1'='1
Password: ' OR '1'='1</t>
        </is>
      </c>
      <c r="I18" s="29" t="inlineStr">
        <is>
          <t>1. Open Login modal
2. Enter the injection strings
3. Click 'Log in'</t>
        </is>
      </c>
      <c r="J18" s="29" t="inlineStr">
        <is>
          <t>Login fails with an error alert; no server error, no session created</t>
        </is>
      </c>
      <c r="K18" s="29" t="inlineStr">
        <is>
          <t>UI</t>
        </is>
      </c>
      <c r="L18" s="29" t="inlineStr">
        <is>
          <t>02.test/01.e2e/01.login/03.security.spec.ts</t>
        </is>
      </c>
      <c r="M18" s="29" t="inlineStr">
        <is>
          <t>Not Run</t>
        </is>
      </c>
      <c r="N18" s="29" t="n"/>
      <c r="O18" s="29" t="n"/>
    </row>
    <row r="19" ht="35.05" customHeight="1" s="17">
      <c r="A19" s="29" t="inlineStr">
        <is>
          <t>LG-018</t>
        </is>
      </c>
      <c r="B19" s="29" t="inlineStr">
        <is>
          <t>Login</t>
        </is>
      </c>
      <c r="C19" s="29" t="inlineStr">
        <is>
          <t>Security</t>
        </is>
      </c>
      <c r="D19" s="29" t="inlineStr">
        <is>
          <t>XSS payload in username</t>
        </is>
      </c>
      <c r="E19" s="32" t="inlineStr">
        <is>
          <t>Negative</t>
        </is>
      </c>
      <c r="F19" s="29" t="inlineStr">
        <is>
          <t>High</t>
        </is>
      </c>
      <c r="G19" s="29" t="inlineStr">
        <is>
          <t>Browser open at https://www.demoblaze.com/
User is NOT logged in</t>
        </is>
      </c>
      <c r="H19" s="29" t="inlineStr">
        <is>
          <t>Username: &lt;img src=x onerror=alert('xss')&gt;
Password: any</t>
        </is>
      </c>
      <c r="I19" s="29" t="inlineStr">
        <is>
          <t>1. Open Login modal
2. Enter the payload
3. Click 'Log in'</t>
        </is>
      </c>
      <c r="J19" s="29" t="inlineStr">
        <is>
          <t>Payload is not executed (no 'xss' dialog, no injected element); login fails with an error alert</t>
        </is>
      </c>
      <c r="K19" s="29" t="inlineStr">
        <is>
          <t>UI</t>
        </is>
      </c>
      <c r="L19" s="29" t="inlineStr">
        <is>
          <t>02.test/01.e2e/01.login/03.security.spec.ts</t>
        </is>
      </c>
      <c r="M19" s="29" t="inlineStr">
        <is>
          <t>Not Run</t>
        </is>
      </c>
      <c r="N19" s="29" t="n"/>
      <c r="O19" s="29" t="n"/>
    </row>
    <row r="20" ht="46.25" customHeight="1" s="17">
      <c r="A20" s="29" t="inlineStr">
        <is>
          <t>LG-019</t>
        </is>
      </c>
      <c r="B20" s="29" t="inlineStr">
        <is>
          <t>Login</t>
        </is>
      </c>
      <c r="C20" s="29" t="inlineStr">
        <is>
          <t>Authentication</t>
        </is>
      </c>
      <c r="D20" s="29" t="inlineStr">
        <is>
          <t>Username with leading/trailing spaces</t>
        </is>
      </c>
      <c r="E20" s="31" t="inlineStr">
        <is>
          <t>Edge</t>
        </is>
      </c>
      <c r="F20" s="29" t="inlineStr">
        <is>
          <t>Medium</t>
        </is>
      </c>
      <c r="G20" s="29" t="inlineStr">
        <is>
          <t>A registered account exists (TEST_USERNAME / TEST_PASSWORD)
User is NOT logged in</t>
        </is>
      </c>
      <c r="H20" s="29" t="inlineStr">
        <is>
          <t>Username: '  &lt;TEST_USERNAME&gt;  '
Password: &lt;TEST_PASSWORD&gt;</t>
        </is>
      </c>
      <c r="I20" s="29" t="inlineStr">
        <is>
          <t>1. Open Login modal
2. Enter username surrounded by spaces, valid password
3. Click 'Log in'</t>
        </is>
      </c>
      <c r="J20" s="29" t="inlineStr">
        <is>
          <t>System applies one consistent rule: either input is trimmed and login succeeds, or login fails with an error alert. No partial/broken session</t>
        </is>
      </c>
      <c r="K20" s="29" t="inlineStr">
        <is>
          <t>UI</t>
        </is>
      </c>
      <c r="L20" s="29" t="inlineStr">
        <is>
          <t>02.test/01.e2e/01.login/01.authentication.spec.ts</t>
        </is>
      </c>
      <c r="M20" s="29" t="inlineStr">
        <is>
          <t>Not Run</t>
        </is>
      </c>
      <c r="N20" s="29" t="n"/>
      <c r="O20" s="29" t="inlineStr">
        <is>
          <t>Confirm trimming rule with BA</t>
        </is>
      </c>
    </row>
    <row r="21" ht="46.25" customHeight="1" s="17">
      <c r="A21" s="29" t="inlineStr">
        <is>
          <t>LG-020</t>
        </is>
      </c>
      <c r="B21" s="29" t="inlineStr">
        <is>
          <t>Login</t>
        </is>
      </c>
      <c r="C21" s="29" t="inlineStr">
        <is>
          <t>Authentication</t>
        </is>
      </c>
      <c r="D21" s="29" t="inlineStr">
        <is>
          <t>Username in different letter case</t>
        </is>
      </c>
      <c r="E21" s="31" t="inlineStr">
        <is>
          <t>Edge</t>
        </is>
      </c>
      <c r="F21" s="29" t="inlineStr">
        <is>
          <t>Medium</t>
        </is>
      </c>
      <c r="G21" s="29" t="inlineStr">
        <is>
          <t>A registered account exists (TEST_USERNAME / TEST_PASSWORD)
User is NOT logged in</t>
        </is>
      </c>
      <c r="H21" s="29" t="inlineStr">
        <is>
          <t>Username: &lt;TEST_USERNAME&gt; in UPPER CASE
Password: &lt;TEST_PASSWORD&gt;</t>
        </is>
      </c>
      <c r="I21" s="29" t="inlineStr">
        <is>
          <t>1. Open Login modal
2. Enter upper-cased username, valid password
3. Click 'Log in'</t>
        </is>
      </c>
      <c r="J21" s="29" t="inlineStr">
        <is>
          <t>Login fails with an error alert (usernames are case-sensitive); user not logged in</t>
        </is>
      </c>
      <c r="K21" s="29" t="inlineStr">
        <is>
          <t>UI</t>
        </is>
      </c>
      <c r="L21" s="29" t="inlineStr">
        <is>
          <t>02.test/01.e2e/01.login/01.authentication.spec.ts</t>
        </is>
      </c>
      <c r="M21" s="29" t="inlineStr">
        <is>
          <t>Not Run</t>
        </is>
      </c>
      <c r="N21" s="29" t="n"/>
      <c r="O21" s="29" t="inlineStr">
        <is>
          <t>Confirm case-sensitivity rule with BA</t>
        </is>
      </c>
    </row>
    <row r="22" ht="35.05" customHeight="1" s="17">
      <c r="A22" s="29" t="inlineStr">
        <is>
          <t>LG-021</t>
        </is>
      </c>
      <c r="B22" s="29" t="inlineStr">
        <is>
          <t>Login</t>
        </is>
      </c>
      <c r="C22" s="29" t="inlineStr">
        <is>
          <t>Validation</t>
        </is>
      </c>
      <c r="D22" s="29" t="inlineStr">
        <is>
          <t>Very long username (300 characters)</t>
        </is>
      </c>
      <c r="E22" s="31" t="inlineStr">
        <is>
          <t>Edge</t>
        </is>
      </c>
      <c r="F22" s="29" t="inlineStr">
        <is>
          <t>Low</t>
        </is>
      </c>
      <c r="G22" s="29" t="inlineStr">
        <is>
          <t>Browser open at https://www.demoblaze.com/
User is NOT logged in</t>
        </is>
      </c>
      <c r="H22" s="29" t="inlineStr">
        <is>
          <t>Username: 'a' x 300
Password: any</t>
        </is>
      </c>
      <c r="I22" s="29" t="inlineStr">
        <is>
          <t>1. Open Login modal
2. Enter the long username
3. Click 'Log in'</t>
        </is>
      </c>
      <c r="J22" s="29" t="inlineStr">
        <is>
          <t>Error alert shown; page remains responsive; no server error</t>
        </is>
      </c>
      <c r="K22" s="29" t="inlineStr">
        <is>
          <t>UI</t>
        </is>
      </c>
      <c r="L22" s="29" t="inlineStr">
        <is>
          <t>02.test/01.e2e/01.login/02.validation.spec.ts</t>
        </is>
      </c>
      <c r="M22" s="29" t="inlineStr">
        <is>
          <t>Not Run</t>
        </is>
      </c>
      <c r="N22" s="29" t="n"/>
      <c r="O22" s="29" t="n"/>
    </row>
    <row r="23" ht="46.25" customHeight="1" s="17">
      <c r="A23" s="29" t="inlineStr">
        <is>
          <t>LG-022</t>
        </is>
      </c>
      <c r="B23" s="29" t="inlineStr">
        <is>
          <t>Login</t>
        </is>
      </c>
      <c r="C23" s="29" t="inlineStr">
        <is>
          <t>Authentication</t>
        </is>
      </c>
      <c r="D23" s="29" t="inlineStr">
        <is>
          <t>Double-click 'Log in' button</t>
        </is>
      </c>
      <c r="E23" s="31" t="inlineStr">
        <is>
          <t>Edge</t>
        </is>
      </c>
      <c r="F23" s="29" t="inlineStr">
        <is>
          <t>Low</t>
        </is>
      </c>
      <c r="G23" s="29" t="inlineStr">
        <is>
          <t>A registered account exists (TEST_USERNAME / TEST_PASSWORD)
User is NOT logged in</t>
        </is>
      </c>
      <c r="H23" s="29" t="inlineStr">
        <is>
          <t>Valid credentials</t>
        </is>
      </c>
      <c r="I23" s="29" t="inlineStr">
        <is>
          <t>1. Open Login modal
2. Enter valid credentials
3. Double-click 'Log in' quickly</t>
        </is>
      </c>
      <c r="J23" s="29" t="inlineStr">
        <is>
          <t>User logged in once; 'Welcome &lt;username&gt;' shown; no error alert</t>
        </is>
      </c>
      <c r="K23" s="29" t="inlineStr">
        <is>
          <t>UI</t>
        </is>
      </c>
      <c r="L23" s="29" t="inlineStr">
        <is>
          <t>02.test/01.e2e/01.login/01.authentication.spec.ts</t>
        </is>
      </c>
      <c r="M23" s="29" t="inlineStr">
        <is>
          <t>Not Run</t>
        </is>
      </c>
      <c r="N23" s="29" t="n"/>
      <c r="O23" s="29" t="n"/>
    </row>
    <row r="24" ht="23.85" customHeight="1" s="17">
      <c r="A24" s="29" t="inlineStr">
        <is>
          <t>LG-023</t>
        </is>
      </c>
      <c r="B24" s="29" t="inlineStr">
        <is>
          <t>Login</t>
        </is>
      </c>
      <c r="C24" s="29" t="inlineStr">
        <is>
          <t>Session</t>
        </is>
      </c>
      <c r="D24" s="29" t="inlineStr">
        <is>
          <t>Logout in one tab invalidates other tab after reload</t>
        </is>
      </c>
      <c r="E24" s="31" t="inlineStr">
        <is>
          <t>Edge</t>
        </is>
      </c>
      <c r="F24" s="29" t="inlineStr">
        <is>
          <t>Medium</t>
        </is>
      </c>
      <c r="G24" s="29" t="inlineStr">
        <is>
          <t>User logged in in two tabs of the same browser</t>
        </is>
      </c>
      <c r="H24" s="29" t="inlineStr">
        <is>
          <t>N/A</t>
        </is>
      </c>
      <c r="I24" s="29" t="inlineStr">
        <is>
          <t>1. In tab A click 'Log out'
2. In tab B reload the page</t>
        </is>
      </c>
      <c r="J24" s="29" t="inlineStr">
        <is>
          <t>Tab B shows logged-out state ('Log in' visible)</t>
        </is>
      </c>
      <c r="K24" s="29" t="inlineStr">
        <is>
          <t>UI</t>
        </is>
      </c>
      <c r="L24" s="29" t="inlineStr">
        <is>
          <t>02.test/01.e2e/01.login/04.session.spec.ts</t>
        </is>
      </c>
      <c r="M24" s="29" t="inlineStr">
        <is>
          <t>Not Run</t>
        </is>
      </c>
      <c r="N24" s="29" t="n"/>
      <c r="O24" s="29" t="n"/>
    </row>
    <row r="25" ht="46.25" customHeight="1" s="17">
      <c r="A25" s="29" t="inlineStr">
        <is>
          <t>LG-024</t>
        </is>
      </c>
      <c r="B25" s="29" t="inlineStr">
        <is>
          <t>Login</t>
        </is>
      </c>
      <c r="C25" s="29" t="inlineStr">
        <is>
          <t>Session</t>
        </is>
      </c>
      <c r="D25" s="29" t="inlineStr">
        <is>
          <t>Auth token cookie lifecycle</t>
        </is>
      </c>
      <c r="E25" s="30" t="inlineStr">
        <is>
          <t>Functional</t>
        </is>
      </c>
      <c r="F25" s="29" t="inlineStr">
        <is>
          <t>Medium</t>
        </is>
      </c>
      <c r="G25" s="29" t="inlineStr">
        <is>
          <t>A registered account exists (TEST_USERNAME / TEST_PASSWORD)
User is NOT logged in</t>
        </is>
      </c>
      <c r="H25" s="29" t="inlineStr">
        <is>
          <t>Valid credentials</t>
        </is>
      </c>
      <c r="I25" s="29" t="inlineStr">
        <is>
          <t>1. Log in
2. Inspect cookies
3. Log out
4. Inspect cookies</t>
        </is>
      </c>
      <c r="J25" s="29" t="inlineStr">
        <is>
          <t>After login an auth token cookie (tokenp_) exists; after logout it is removed</t>
        </is>
      </c>
      <c r="K25" s="29" t="inlineStr">
        <is>
          <t>UI</t>
        </is>
      </c>
      <c r="L25" s="29" t="inlineStr">
        <is>
          <t>02.test/01.e2e/01.login/04.session.spec.ts</t>
        </is>
      </c>
      <c r="M25" s="29" t="inlineStr">
        <is>
          <t>Not Run</t>
        </is>
      </c>
      <c r="N25" s="29" t="n"/>
      <c r="O25" s="29" t="n"/>
    </row>
    <row r="26" ht="23.85" customHeight="1" s="17">
      <c r="A26" s="29" t="inlineStr">
        <is>
          <t>LG-025</t>
        </is>
      </c>
      <c r="B26" s="29" t="inlineStr">
        <is>
          <t>Login</t>
        </is>
      </c>
      <c r="C26" s="29" t="inlineStr">
        <is>
          <t>API</t>
        </is>
      </c>
      <c r="D26" s="29" t="inlineStr">
        <is>
          <t>POST /login with valid credentials returns token</t>
        </is>
      </c>
      <c r="E26" s="30" t="inlineStr">
        <is>
          <t>Functional</t>
        </is>
      </c>
      <c r="F26" s="29" t="inlineStr">
        <is>
          <t>Critical</t>
        </is>
      </c>
      <c r="G26" s="29" t="inlineStr">
        <is>
          <t>A registered account exists</t>
        </is>
      </c>
      <c r="H26" s="29" t="inlineStr">
        <is>
          <t>{ username, password: base64(password) }</t>
        </is>
      </c>
      <c r="I26" s="29" t="inlineStr">
        <is>
          <t>1. Send POST https://api.demoblaze.com/login</t>
        </is>
      </c>
      <c r="J26" s="29" t="inlineStr">
        <is>
          <t>HTTP 200; body contains 'Auth_token: &lt;token&gt;'; token validates via POST /check</t>
        </is>
      </c>
      <c r="K26" s="29" t="inlineStr">
        <is>
          <t>API</t>
        </is>
      </c>
      <c r="L26" s="29" t="inlineStr">
        <is>
          <t>02.test/00.integration/01.auth.api.spec.ts</t>
        </is>
      </c>
      <c r="M26" s="29" t="inlineStr">
        <is>
          <t>Not Run</t>
        </is>
      </c>
      <c r="N26" s="29" t="n"/>
      <c r="O26" s="29" t="n"/>
    </row>
  </sheetData>
  <autoFilter ref="A1:O26"/>
  <conditionalFormatting sqref="M2:M26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"Blocked"</formula>
    </cfRule>
  </conditionalFormatting>
  <dataValidations count="1">
    <dataValidation sqref="M2:M26" showDropDown="0" showInputMessage="0" showErrorMessage="0" allowBlank="1" type="list" errorStyle="stop" operator="between">
      <formula1>"Not Run,Pass,Fail,Blocked,Skipped"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6" min="1" max="1"/>
    <col width="9" customWidth="1" style="16" min="2" max="2"/>
    <col width="16" customWidth="1" style="16" min="3" max="3"/>
    <col width="38" customWidth="1" style="16" min="4" max="4"/>
    <col width="11" customWidth="1" style="16" min="5" max="5"/>
    <col width="9" customWidth="1" style="16" min="6" max="6"/>
    <col width="30" customWidth="1" style="16" min="7" max="8"/>
    <col width="52" customWidth="1" style="16" min="9" max="10"/>
    <col width="11" customWidth="1" style="16" min="11" max="11"/>
    <col width="34" customWidth="1" style="16" min="12" max="12"/>
    <col width="11" customWidth="1" style="16" min="13" max="13"/>
    <col width="28" customWidth="1" style="16" min="14" max="14"/>
    <col width="34" customWidth="1" style="16" min="15" max="15"/>
  </cols>
  <sheetData>
    <row r="1" ht="23.85" customHeight="1" s="17">
      <c r="A1" s="28" t="inlineStr">
        <is>
          <t>TC ID</t>
        </is>
      </c>
      <c r="B1" s="28" t="inlineStr">
        <is>
          <t>Feature</t>
        </is>
      </c>
      <c r="C1" s="28" t="inlineStr">
        <is>
          <t>Sub-feature</t>
        </is>
      </c>
      <c r="D1" s="28" t="inlineStr">
        <is>
          <t>Title</t>
        </is>
      </c>
      <c r="E1" s="28" t="inlineStr">
        <is>
          <t>Type</t>
        </is>
      </c>
      <c r="F1" s="28" t="inlineStr">
        <is>
          <t>Priority</t>
        </is>
      </c>
      <c r="G1" s="28" t="inlineStr">
        <is>
          <t>Preconditions</t>
        </is>
      </c>
      <c r="H1" s="28" t="inlineStr">
        <is>
          <t>Test Data</t>
        </is>
      </c>
      <c r="I1" s="28" t="inlineStr">
        <is>
          <t>Test Steps</t>
        </is>
      </c>
      <c r="J1" s="28" t="inlineStr">
        <is>
          <t>Expected Result</t>
        </is>
      </c>
      <c r="K1" s="28" t="inlineStr">
        <is>
          <t>Automation</t>
        </is>
      </c>
      <c r="L1" s="28" t="inlineStr">
        <is>
          <t>Planned Spec</t>
        </is>
      </c>
      <c r="M1" s="28" t="inlineStr">
        <is>
          <t>Status</t>
        </is>
      </c>
      <c r="N1" s="28" t="inlineStr">
        <is>
          <t>Actual Result</t>
        </is>
      </c>
      <c r="O1" s="28" t="inlineStr">
        <is>
          <t>Notes</t>
        </is>
      </c>
    </row>
    <row r="2" ht="46.25" customHeight="1" s="17">
      <c r="A2" s="29" t="inlineStr">
        <is>
          <t>CT-001</t>
        </is>
      </c>
      <c r="B2" s="29" t="inlineStr">
        <is>
          <t>Cart</t>
        </is>
      </c>
      <c r="C2" s="29" t="inlineStr">
        <is>
          <t>Add to cart</t>
        </is>
      </c>
      <c r="D2" s="29" t="inlineStr">
        <is>
          <t>Guest adds a product to cart</t>
        </is>
      </c>
      <c r="E2" s="30" t="inlineStr">
        <is>
          <t>Functional</t>
        </is>
      </c>
      <c r="F2" s="29" t="inlineStr">
        <is>
          <t>Critical</t>
        </is>
      </c>
      <c r="G2" s="29" t="inlineStr">
        <is>
          <t>Browser open at https://www.demoblaze.com/
User is NOT logged in</t>
        </is>
      </c>
      <c r="H2" s="29" t="inlineStr">
        <is>
          <t>Product: Samsung galaxy s6 ($360)</t>
        </is>
      </c>
      <c r="I2" s="29" t="inlineStr">
        <is>
          <t>1. Click product 'Samsung galaxy s6'
2. Click 'Add to cart'
3. Accept the alert
4. Open 'Cart'</t>
        </is>
      </c>
      <c r="J2" s="29" t="inlineStr">
        <is>
          <t>Alert 'Product added' shown
Cart shows 1 row: title 'Samsung galaxy s6', price 360
Total = 360</t>
        </is>
      </c>
      <c r="K2" s="29" t="inlineStr">
        <is>
          <t>UI</t>
        </is>
      </c>
      <c r="L2" s="29" t="inlineStr">
        <is>
          <t>02.test/01.e2e/02.cart/00.add.to.cart.spec.ts</t>
        </is>
      </c>
      <c r="M2" s="29" t="inlineStr">
        <is>
          <t>Not Run</t>
        </is>
      </c>
      <c r="N2" s="29" t="n"/>
      <c r="O2" s="29" t="n"/>
    </row>
    <row r="3" ht="46.25" customHeight="1" s="17">
      <c r="A3" s="29" t="inlineStr">
        <is>
          <t>CT-002</t>
        </is>
      </c>
      <c r="B3" s="29" t="inlineStr">
        <is>
          <t>Cart</t>
        </is>
      </c>
      <c r="C3" s="29" t="inlineStr">
        <is>
          <t>Add to cart</t>
        </is>
      </c>
      <c r="D3" s="29" t="inlineStr">
        <is>
          <t>Logged-in user adds a product to cart</t>
        </is>
      </c>
      <c r="E3" s="30" t="inlineStr">
        <is>
          <t>Functional</t>
        </is>
      </c>
      <c r="F3" s="29" t="inlineStr">
        <is>
          <t>Critical</t>
        </is>
      </c>
      <c r="G3" s="29" t="inlineStr">
        <is>
          <t>User is logged in with a registered account
Cart of that account is empty</t>
        </is>
      </c>
      <c r="H3" s="29" t="inlineStr">
        <is>
          <t>Product: Nokia lumia 1520 ($820)</t>
        </is>
      </c>
      <c r="I3" s="29" t="inlineStr">
        <is>
          <t>1. Open product 'Nokia lumia 1520'
2. Click 'Add to cart'
3. Accept alert
4. Open 'Cart'</t>
        </is>
      </c>
      <c r="J3" s="29" t="inlineStr">
        <is>
          <t>Cart shows 1 row: 'Nokia lumia 1520', price 820
Total = 820</t>
        </is>
      </c>
      <c r="K3" s="29" t="inlineStr">
        <is>
          <t>UI</t>
        </is>
      </c>
      <c r="L3" s="29" t="inlineStr">
        <is>
          <t>02.test/01.e2e/02.cart/00.add.to.cart.spec.ts</t>
        </is>
      </c>
      <c r="M3" s="29" t="inlineStr">
        <is>
          <t>Not Run</t>
        </is>
      </c>
      <c r="N3" s="29" t="n"/>
      <c r="O3" s="29" t="n"/>
    </row>
    <row r="4" ht="35.05" customHeight="1" s="17">
      <c r="A4" s="29" t="inlineStr">
        <is>
          <t>CT-003</t>
        </is>
      </c>
      <c r="B4" s="29" t="inlineStr">
        <is>
          <t>Cart</t>
        </is>
      </c>
      <c r="C4" s="29" t="inlineStr">
        <is>
          <t>Add to cart</t>
        </is>
      </c>
      <c r="D4" s="29" t="inlineStr">
        <is>
          <t>Add multiple different products</t>
        </is>
      </c>
      <c r="E4" s="30" t="inlineStr">
        <is>
          <t>Functional</t>
        </is>
      </c>
      <c r="F4" s="29" t="inlineStr">
        <is>
          <t>High</t>
        </is>
      </c>
      <c r="G4" s="29" t="inlineStr">
        <is>
          <t>Browser open at https://www.demoblaze.com/
User is NOT logged in</t>
        </is>
      </c>
      <c r="H4" s="29" t="inlineStr">
        <is>
          <t>Samsung galaxy s6 ($360), Nokia lumia 1520 ($820), Sony vaio i5 ($790)</t>
        </is>
      </c>
      <c r="I4" s="29" t="inlineStr">
        <is>
          <t>1. Add each product to cart
2. Open 'Cart'</t>
        </is>
      </c>
      <c r="J4" s="29" t="inlineStr">
        <is>
          <t>3 rows listed with correct titles and prices
Total = 1970 (sum of prices)</t>
        </is>
      </c>
      <c r="K4" s="29" t="inlineStr">
        <is>
          <t>UI</t>
        </is>
      </c>
      <c r="L4" s="29" t="inlineStr">
        <is>
          <t>02.test/01.e2e/02.cart/00.add.to.cart.spec.ts</t>
        </is>
      </c>
      <c r="M4" s="29" t="inlineStr">
        <is>
          <t>Not Run</t>
        </is>
      </c>
      <c r="N4" s="29" t="n"/>
      <c r="O4" s="29" t="n"/>
    </row>
    <row r="5" ht="35.05" customHeight="1" s="17">
      <c r="A5" s="29" t="inlineStr">
        <is>
          <t>CT-004</t>
        </is>
      </c>
      <c r="B5" s="29" t="inlineStr">
        <is>
          <t>Cart</t>
        </is>
      </c>
      <c r="C5" s="29" t="inlineStr">
        <is>
          <t>Add to cart</t>
        </is>
      </c>
      <c r="D5" s="29" t="inlineStr">
        <is>
          <t>Add the same product twice</t>
        </is>
      </c>
      <c r="E5" s="31" t="inlineStr">
        <is>
          <t>Edge</t>
        </is>
      </c>
      <c r="F5" s="29" t="inlineStr">
        <is>
          <t>High</t>
        </is>
      </c>
      <c r="G5" s="29" t="inlineStr">
        <is>
          <t>Browser open at https://www.demoblaze.com/
User is NOT logged in</t>
        </is>
      </c>
      <c r="H5" s="29" t="inlineStr">
        <is>
          <t>Samsung galaxy s6 ($360) x2</t>
        </is>
      </c>
      <c r="I5" s="29" t="inlineStr">
        <is>
          <t>1. Add 'Samsung galaxy s6' to cart twice
2. Open 'Cart'</t>
        </is>
      </c>
      <c r="J5" s="29" t="inlineStr">
        <is>
          <t>2 rows of 'Samsung galaxy s6'
Total = 720</t>
        </is>
      </c>
      <c r="K5" s="29" t="inlineStr">
        <is>
          <t>UI</t>
        </is>
      </c>
      <c r="L5" s="29" t="inlineStr">
        <is>
          <t>02.test/01.e2e/02.cart/00.add.to.cart.spec.ts</t>
        </is>
      </c>
      <c r="M5" s="29" t="inlineStr">
        <is>
          <t>Not Run</t>
        </is>
      </c>
      <c r="N5" s="29" t="n"/>
      <c r="O5" s="29" t="inlineStr">
        <is>
          <t>Cart has no quantity field; each add creates a row</t>
        </is>
      </c>
    </row>
    <row r="6" ht="23.85" customHeight="1" s="17">
      <c r="A6" s="29" t="inlineStr">
        <is>
          <t>CT-005</t>
        </is>
      </c>
      <c r="B6" s="29" t="inlineStr">
        <is>
          <t>Cart</t>
        </is>
      </c>
      <c r="C6" s="29" t="inlineStr">
        <is>
          <t>Remove item</t>
        </is>
      </c>
      <c r="D6" s="29" t="inlineStr">
        <is>
          <t>Delete one item from cart</t>
        </is>
      </c>
      <c r="E6" s="30" t="inlineStr">
        <is>
          <t>Functional</t>
        </is>
      </c>
      <c r="F6" s="29" t="inlineStr">
        <is>
          <t>Critical</t>
        </is>
      </c>
      <c r="G6" s="29" t="inlineStr">
        <is>
          <t>Cart contains: Samsung galaxy s6 ($360), Nokia lumia 1520 ($820)</t>
        </is>
      </c>
      <c r="H6" s="29" t="inlineStr">
        <is>
          <t>N/A</t>
        </is>
      </c>
      <c r="I6" s="29" t="inlineStr">
        <is>
          <t>1. Open 'Cart'
2. Click 'Delete' on 'Samsung galaxy s6'</t>
        </is>
      </c>
      <c r="J6" s="29" t="inlineStr">
        <is>
          <t>Row 'Samsung galaxy s6' removed; 'Nokia lumia 1520' remains
Total = 820</t>
        </is>
      </c>
      <c r="K6" s="29" t="inlineStr">
        <is>
          <t>UI</t>
        </is>
      </c>
      <c r="L6" s="29" t="inlineStr">
        <is>
          <t>02.test/01.e2e/02.cart/01.remove.item.spec.ts</t>
        </is>
      </c>
      <c r="M6" s="29" t="inlineStr">
        <is>
          <t>Not Run</t>
        </is>
      </c>
      <c r="N6" s="29" t="n"/>
      <c r="O6" s="29" t="n"/>
    </row>
    <row r="7" ht="23.85" customHeight="1" s="17">
      <c r="A7" s="29" t="inlineStr">
        <is>
          <t>CT-006</t>
        </is>
      </c>
      <c r="B7" s="29" t="inlineStr">
        <is>
          <t>Cart</t>
        </is>
      </c>
      <c r="C7" s="29" t="inlineStr">
        <is>
          <t>Remove item</t>
        </is>
      </c>
      <c r="D7" s="29" t="inlineStr">
        <is>
          <t>Delete all items from cart</t>
        </is>
      </c>
      <c r="E7" s="30" t="inlineStr">
        <is>
          <t>Functional</t>
        </is>
      </c>
      <c r="F7" s="29" t="inlineStr">
        <is>
          <t>High</t>
        </is>
      </c>
      <c r="G7" s="29" t="inlineStr">
        <is>
          <t>Cart contains: Samsung galaxy s6 ($360), Nokia lumia 1520 ($820)</t>
        </is>
      </c>
      <c r="H7" s="29" t="inlineStr">
        <is>
          <t>N/A</t>
        </is>
      </c>
      <c r="I7" s="29" t="inlineStr">
        <is>
          <t>1. Open 'Cart'
2. Delete every row</t>
        </is>
      </c>
      <c r="J7" s="29" t="inlineStr">
        <is>
          <t>Cart table is empty; Total is empty / 0</t>
        </is>
      </c>
      <c r="K7" s="29" t="inlineStr">
        <is>
          <t>UI</t>
        </is>
      </c>
      <c r="L7" s="29" t="inlineStr">
        <is>
          <t>02.test/01.e2e/02.cart/01.remove.item.spec.ts</t>
        </is>
      </c>
      <c r="M7" s="29" t="inlineStr">
        <is>
          <t>Not Run</t>
        </is>
      </c>
      <c r="N7" s="29" t="n"/>
      <c r="O7" s="29" t="n"/>
    </row>
    <row r="8" ht="23.85" customHeight="1" s="17">
      <c r="A8" s="29" t="inlineStr">
        <is>
          <t>CT-007</t>
        </is>
      </c>
      <c r="B8" s="29" t="inlineStr">
        <is>
          <t>Cart</t>
        </is>
      </c>
      <c r="C8" s="29" t="inlineStr">
        <is>
          <t>Persistence</t>
        </is>
      </c>
      <c r="D8" s="29" t="inlineStr">
        <is>
          <t>Guest cart persists after reload</t>
        </is>
      </c>
      <c r="E8" s="30" t="inlineStr">
        <is>
          <t>Functional</t>
        </is>
      </c>
      <c r="F8" s="29" t="inlineStr">
        <is>
          <t>High</t>
        </is>
      </c>
      <c r="G8" s="29" t="inlineStr">
        <is>
          <t>Cart contains 1 product: Samsung galaxy s6 ($360) (guest)</t>
        </is>
      </c>
      <c r="H8" s="29" t="inlineStr">
        <is>
          <t>N/A</t>
        </is>
      </c>
      <c r="I8" s="29" t="inlineStr">
        <is>
          <t>1. Open 'Cart'
2. Reload page</t>
        </is>
      </c>
      <c r="J8" s="29" t="inlineStr">
        <is>
          <t>Same item and total shown after reload</t>
        </is>
      </c>
      <c r="K8" s="29" t="inlineStr">
        <is>
          <t>UI</t>
        </is>
      </c>
      <c r="L8" s="29" t="inlineStr">
        <is>
          <t>02.test/01.e2e/02.cart/03.persistence.spec.ts</t>
        </is>
      </c>
      <c r="M8" s="29" t="inlineStr">
        <is>
          <t>Not Run</t>
        </is>
      </c>
      <c r="N8" s="29" t="n"/>
      <c r="O8" s="29" t="n"/>
    </row>
    <row r="9" ht="57.45" customHeight="1" s="17">
      <c r="A9" s="29" t="inlineStr">
        <is>
          <t>CT-008</t>
        </is>
      </c>
      <c r="B9" s="29" t="inlineStr">
        <is>
          <t>Cart</t>
        </is>
      </c>
      <c r="C9" s="29" t="inlineStr">
        <is>
          <t>Persistence</t>
        </is>
      </c>
      <c r="D9" s="29" t="inlineStr">
        <is>
          <t>Logged-in cart persists across sessions</t>
        </is>
      </c>
      <c r="E9" s="30" t="inlineStr">
        <is>
          <t>Functional</t>
        </is>
      </c>
      <c r="F9" s="29" t="inlineStr">
        <is>
          <t>High</t>
        </is>
      </c>
      <c r="G9" s="29" t="inlineStr">
        <is>
          <t>User is logged in with a registered account
Cart of that account is empty</t>
        </is>
      </c>
      <c r="H9" s="29" t="inlineStr">
        <is>
          <t>Samsung galaxy s6</t>
        </is>
      </c>
      <c r="I9" s="29" t="inlineStr">
        <is>
          <t>1. Add 'Samsung galaxy s6'
2. Log out
3. Close browser / open new browser context
4. Log in again
5. Open 'Cart'</t>
        </is>
      </c>
      <c r="J9" s="29" t="inlineStr">
        <is>
          <t>Cart still contains 'Samsung galaxy s6'</t>
        </is>
      </c>
      <c r="K9" s="29" t="inlineStr">
        <is>
          <t>UI</t>
        </is>
      </c>
      <c r="L9" s="29" t="inlineStr">
        <is>
          <t>02.test/01.e2e/02.cart/03.persistence.spec.ts</t>
        </is>
      </c>
      <c r="M9" s="29" t="inlineStr">
        <is>
          <t>Not Run</t>
        </is>
      </c>
      <c r="N9" s="29" t="n"/>
      <c r="O9" s="29" t="n"/>
    </row>
    <row r="10" ht="35.05" customHeight="1" s="17">
      <c r="A10" s="29" t="inlineStr">
        <is>
          <t>CT-009</t>
        </is>
      </c>
      <c r="B10" s="29" t="inlineStr">
        <is>
          <t>Cart</t>
        </is>
      </c>
      <c r="C10" s="29" t="inlineStr">
        <is>
          <t>Cart view</t>
        </is>
      </c>
      <c r="D10" s="29" t="inlineStr">
        <is>
          <t>Cart table structure</t>
        </is>
      </c>
      <c r="E10" s="30" t="inlineStr">
        <is>
          <t>Functional</t>
        </is>
      </c>
      <c r="F10" s="29" t="inlineStr">
        <is>
          <t>Low</t>
        </is>
      </c>
      <c r="G10" s="29" t="inlineStr">
        <is>
          <t>Cart contains 1 product: Samsung galaxy s6 ($360)</t>
        </is>
      </c>
      <c r="H10" s="29" t="inlineStr">
        <is>
          <t>N/A</t>
        </is>
      </c>
      <c r="I10" s="29" t="inlineStr">
        <is>
          <t>1. Open 'Cart'</t>
        </is>
      </c>
      <c r="J10" s="29" t="inlineStr">
        <is>
          <t>Table headers: Pic, Title, Price, x
Each row has image, title, price and 'Delete' link
'Place Order' button visible</t>
        </is>
      </c>
      <c r="K10" s="29" t="inlineStr">
        <is>
          <t>UI</t>
        </is>
      </c>
      <c r="L10" s="29" t="inlineStr">
        <is>
          <t>02.test/01.e2e/02.cart/02.cart.view.spec.ts</t>
        </is>
      </c>
      <c r="M10" s="29" t="inlineStr">
        <is>
          <t>Not Run</t>
        </is>
      </c>
      <c r="N10" s="29" t="n"/>
      <c r="O10" s="29" t="n"/>
    </row>
    <row r="11" ht="35.05" customHeight="1" s="17">
      <c r="A11" s="29" t="inlineStr">
        <is>
          <t>CT-010</t>
        </is>
      </c>
      <c r="B11" s="29" t="inlineStr">
        <is>
          <t>Cart</t>
        </is>
      </c>
      <c r="C11" s="29" t="inlineStr">
        <is>
          <t>Cart view</t>
        </is>
      </c>
      <c r="D11" s="29" t="inlineStr">
        <is>
          <t>Cart price matches product page price</t>
        </is>
      </c>
      <c r="E11" s="30" t="inlineStr">
        <is>
          <t>Functional</t>
        </is>
      </c>
      <c r="F11" s="29" t="inlineStr">
        <is>
          <t>High</t>
        </is>
      </c>
      <c r="G11" s="29" t="inlineStr">
        <is>
          <t>Browser open at https://www.demoblaze.com/
User is NOT logged in</t>
        </is>
      </c>
      <c r="H11" s="29" t="inlineStr">
        <is>
          <t>Product: MacBook air</t>
        </is>
      </c>
      <c r="I11" s="29" t="inlineStr">
        <is>
          <t>1. Open product page, note price
2. Add to cart
3. Open 'Cart'</t>
        </is>
      </c>
      <c r="J11" s="29" t="inlineStr">
        <is>
          <t>Price in cart equals price on product page (without '$' and '*includes tax')</t>
        </is>
      </c>
      <c r="K11" s="29" t="inlineStr">
        <is>
          <t>UI</t>
        </is>
      </c>
      <c r="L11" s="29" t="inlineStr">
        <is>
          <t>02.test/01.e2e/02.cart/02.cart.view.spec.ts</t>
        </is>
      </c>
      <c r="M11" s="29" t="inlineStr">
        <is>
          <t>Not Run</t>
        </is>
      </c>
      <c r="N11" s="29" t="n"/>
      <c r="O11" s="29" t="n"/>
    </row>
    <row r="12" ht="35.05" customHeight="1" s="17">
      <c r="A12" s="29" t="inlineStr">
        <is>
          <t>CT-011</t>
        </is>
      </c>
      <c r="B12" s="29" t="inlineStr">
        <is>
          <t>Cart</t>
        </is>
      </c>
      <c r="C12" s="29" t="inlineStr">
        <is>
          <t>Cart view</t>
        </is>
      </c>
      <c r="D12" s="29" t="inlineStr">
        <is>
          <t>Products from different categories</t>
        </is>
      </c>
      <c r="E12" s="30" t="inlineStr">
        <is>
          <t>Functional</t>
        </is>
      </c>
      <c r="F12" s="29" t="inlineStr">
        <is>
          <t>Medium</t>
        </is>
      </c>
      <c r="G12" s="29" t="inlineStr">
        <is>
          <t>Browser open at https://www.demoblaze.com/
User is NOT logged in</t>
        </is>
      </c>
      <c r="H12" s="29" t="inlineStr">
        <is>
          <t>Phone: Samsung galaxy s6; Laptop: Sony vaio i5; Monitor: Apple monitor 24</t>
        </is>
      </c>
      <c r="I12" s="29" t="inlineStr">
        <is>
          <t>1. Filter by each category and add one product
2. Open 'Cart'</t>
        </is>
      </c>
      <c r="J12" s="29" t="inlineStr">
        <is>
          <t>3 rows, one per category; total = sum of the 3 prices</t>
        </is>
      </c>
      <c r="K12" s="29" t="inlineStr">
        <is>
          <t>UI</t>
        </is>
      </c>
      <c r="L12" s="29" t="inlineStr">
        <is>
          <t>02.test/01.e2e/02.cart/02.cart.view.spec.ts</t>
        </is>
      </c>
      <c r="M12" s="29" t="inlineStr">
        <is>
          <t>Not Run</t>
        </is>
      </c>
      <c r="N12" s="29" t="n"/>
      <c r="O12" s="29" t="n"/>
    </row>
    <row r="13" ht="23.85" customHeight="1" s="17">
      <c r="A13" s="29" t="inlineStr">
        <is>
          <t>CT-012</t>
        </is>
      </c>
      <c r="B13" s="29" t="inlineStr">
        <is>
          <t>Cart</t>
        </is>
      </c>
      <c r="C13" s="29" t="inlineStr">
        <is>
          <t>Isolation</t>
        </is>
      </c>
      <c r="D13" s="29" t="inlineStr">
        <is>
          <t>Guest cart is not shared between sessions</t>
        </is>
      </c>
      <c r="E13" s="32" t="inlineStr">
        <is>
          <t>Negative</t>
        </is>
      </c>
      <c r="F13" s="29" t="inlineStr">
        <is>
          <t>High</t>
        </is>
      </c>
      <c r="G13" s="29" t="inlineStr">
        <is>
          <t>Two separate browser contexts (guest A, guest B)</t>
        </is>
      </c>
      <c r="H13" s="29" t="inlineStr">
        <is>
          <t>Samsung galaxy s6</t>
        </is>
      </c>
      <c r="I13" s="29" t="inlineStr">
        <is>
          <t>1. Guest A adds 'Samsung galaxy s6'
2. Guest B opens 'Cart'</t>
        </is>
      </c>
      <c r="J13" s="29" t="inlineStr">
        <is>
          <t>Guest B's cart is empty</t>
        </is>
      </c>
      <c r="K13" s="29" t="inlineStr">
        <is>
          <t>UI + API</t>
        </is>
      </c>
      <c r="L13" s="29" t="inlineStr">
        <is>
          <t>02.test/01.e2e/02.cart/03.persistence.spec.ts
02.test/00.integration/02.cart.api.spec.ts</t>
        </is>
      </c>
      <c r="M13" s="29" t="inlineStr">
        <is>
          <t>Not Run</t>
        </is>
      </c>
      <c r="N13" s="29" t="n"/>
      <c r="O13" s="29" t="n"/>
    </row>
    <row r="14" ht="23.85" customHeight="1" s="17">
      <c r="A14" s="29" t="inlineStr">
        <is>
          <t>CT-013</t>
        </is>
      </c>
      <c r="B14" s="29" t="inlineStr">
        <is>
          <t>Cart</t>
        </is>
      </c>
      <c r="C14" s="29" t="inlineStr">
        <is>
          <t>Isolation</t>
        </is>
      </c>
      <c r="D14" s="29" t="inlineStr">
        <is>
          <t>Users cannot see each other's carts</t>
        </is>
      </c>
      <c r="E14" s="32" t="inlineStr">
        <is>
          <t>Negative</t>
        </is>
      </c>
      <c r="F14" s="29" t="inlineStr">
        <is>
          <t>Critical</t>
        </is>
      </c>
      <c r="G14" s="29" t="inlineStr">
        <is>
          <t>Two registered accounts (user A, user B)</t>
        </is>
      </c>
      <c r="H14" s="29" t="inlineStr">
        <is>
          <t>Nokia lumia 1520</t>
        </is>
      </c>
      <c r="I14" s="29" t="inlineStr">
        <is>
          <t>1. User A adds 'Nokia lumia 1520'
2. User B views cart (UI or POST /viewcart)</t>
        </is>
      </c>
      <c r="J14" s="29" t="inlineStr">
        <is>
          <t>User B's cart does not contain user A's item</t>
        </is>
      </c>
      <c r="K14" s="29" t="inlineStr">
        <is>
          <t>API</t>
        </is>
      </c>
      <c r="L14" s="29" t="inlineStr">
        <is>
          <t>02.test/00.integration/02.cart.api.spec.ts</t>
        </is>
      </c>
      <c r="M14" s="29" t="inlineStr">
        <is>
          <t>Not Run</t>
        </is>
      </c>
      <c r="N14" s="29" t="n"/>
      <c r="O14" s="29" t="n"/>
    </row>
    <row r="15" ht="23.85" customHeight="1" s="17">
      <c r="A15" s="29" t="inlineStr">
        <is>
          <t>CT-014</t>
        </is>
      </c>
      <c r="B15" s="29" t="inlineStr">
        <is>
          <t>Cart</t>
        </is>
      </c>
      <c r="C15" s="29" t="inlineStr">
        <is>
          <t>Remove item</t>
        </is>
      </c>
      <c r="D15" s="29" t="inlineStr">
        <is>
          <t>Delete with invalid item id (API)</t>
        </is>
      </c>
      <c r="E15" s="32" t="inlineStr">
        <is>
          <t>Negative</t>
        </is>
      </c>
      <c r="F15" s="29" t="inlineStr">
        <is>
          <t>Medium</t>
        </is>
      </c>
      <c r="G15" s="29" t="inlineStr">
        <is>
          <t>Cart contains 1 product: Samsung galaxy s6 ($360)</t>
        </is>
      </c>
      <c r="H15" s="29" t="inlineStr">
        <is>
          <t>POST /deleteitem { id: 'non-existent-uuid' }</t>
        </is>
      </c>
      <c r="I15" s="29" t="inlineStr">
        <is>
          <t>1. Send POST /deleteitem with an unknown id
2. POST /viewcart</t>
        </is>
      </c>
      <c r="J15" s="29" t="inlineStr">
        <is>
          <t>No server error; existing cart item is not removed</t>
        </is>
      </c>
      <c r="K15" s="29" t="inlineStr">
        <is>
          <t>API</t>
        </is>
      </c>
      <c r="L15" s="29" t="inlineStr">
        <is>
          <t>02.test/00.integration/02.cart.api.spec.ts</t>
        </is>
      </c>
      <c r="M15" s="29" t="inlineStr">
        <is>
          <t>Not Run</t>
        </is>
      </c>
      <c r="N15" s="29" t="n"/>
      <c r="O15" s="29" t="n"/>
    </row>
    <row r="16" ht="35.05" customHeight="1" s="17">
      <c r="A16" s="29" t="inlineStr">
        <is>
          <t>CT-015</t>
        </is>
      </c>
      <c r="B16" s="29" t="inlineStr">
        <is>
          <t>Cart</t>
        </is>
      </c>
      <c r="C16" s="29" t="inlineStr">
        <is>
          <t>Add to cart</t>
        </is>
      </c>
      <c r="D16" s="29" t="inlineStr">
        <is>
          <t>Add many items (10)</t>
        </is>
      </c>
      <c r="E16" s="31" t="inlineStr">
        <is>
          <t>Edge</t>
        </is>
      </c>
      <c r="F16" s="29" t="inlineStr">
        <is>
          <t>Medium</t>
        </is>
      </c>
      <c r="G16" s="29" t="inlineStr">
        <is>
          <t>Browser open at https://www.demoblaze.com/
User is NOT logged in</t>
        </is>
      </c>
      <c r="H16" s="29" t="inlineStr">
        <is>
          <t>10 x add to cart via API</t>
        </is>
      </c>
      <c r="I16" s="29" t="inlineStr">
        <is>
          <t>1. Add 10 products
2. Open 'Cart'</t>
        </is>
      </c>
      <c r="J16" s="29" t="inlineStr">
        <is>
          <t>10 rows listed; total equals sum of prices</t>
        </is>
      </c>
      <c r="K16" s="29" t="inlineStr">
        <is>
          <t>UI + API</t>
        </is>
      </c>
      <c r="L16" s="29" t="inlineStr">
        <is>
          <t>02.test/01.e2e/02.cart/00.add.to.cart.spec.ts</t>
        </is>
      </c>
      <c r="M16" s="29" t="inlineStr">
        <is>
          <t>Not Run</t>
        </is>
      </c>
      <c r="N16" s="29" t="n"/>
      <c r="O16" s="29" t="inlineStr">
        <is>
          <t>Items seeded via API to speed up setup</t>
        </is>
      </c>
    </row>
    <row r="17" ht="23.85" customHeight="1" s="17">
      <c r="A17" s="29" t="inlineStr">
        <is>
          <t>CT-016</t>
        </is>
      </c>
      <c r="B17" s="29" t="inlineStr">
        <is>
          <t>Cart</t>
        </is>
      </c>
      <c r="C17" s="29" t="inlineStr">
        <is>
          <t>Remove item</t>
        </is>
      </c>
      <c r="D17" s="29" t="inlineStr">
        <is>
          <t>Delete one of two identical rows</t>
        </is>
      </c>
      <c r="E17" s="31" t="inlineStr">
        <is>
          <t>Edge</t>
        </is>
      </c>
      <c r="F17" s="29" t="inlineStr">
        <is>
          <t>Medium</t>
        </is>
      </c>
      <c r="G17" s="29" t="inlineStr">
        <is>
          <t>Cart contains 'Samsung galaxy s6' twice</t>
        </is>
      </c>
      <c r="H17" s="29" t="inlineStr">
        <is>
          <t>N/A</t>
        </is>
      </c>
      <c r="I17" s="29" t="inlineStr">
        <is>
          <t>1. Open 'Cart'
2. Delete one 'Samsung galaxy s6' row</t>
        </is>
      </c>
      <c r="J17" s="29" t="inlineStr">
        <is>
          <t>Exactly 1 row remains; Total = 360</t>
        </is>
      </c>
      <c r="K17" s="29" t="inlineStr">
        <is>
          <t>UI</t>
        </is>
      </c>
      <c r="L17" s="29" t="inlineStr">
        <is>
          <t>02.test/01.e2e/02.cart/01.remove.item.spec.ts</t>
        </is>
      </c>
      <c r="M17" s="29" t="inlineStr">
        <is>
          <t>Not Run</t>
        </is>
      </c>
      <c r="N17" s="29" t="n"/>
      <c r="O17" s="29" t="n"/>
    </row>
    <row r="18" ht="35.05" customHeight="1" s="17">
      <c r="A18" s="29" t="inlineStr">
        <is>
          <t>CT-017</t>
        </is>
      </c>
      <c r="B18" s="29" t="inlineStr">
        <is>
          <t>Cart</t>
        </is>
      </c>
      <c r="C18" s="29" t="inlineStr">
        <is>
          <t>Add to cart</t>
        </is>
      </c>
      <c r="D18" s="29" t="inlineStr">
        <is>
          <t>Rapid double-click 'Add to cart'</t>
        </is>
      </c>
      <c r="E18" s="31" t="inlineStr">
        <is>
          <t>Edge</t>
        </is>
      </c>
      <c r="F18" s="29" t="inlineStr">
        <is>
          <t>Low</t>
        </is>
      </c>
      <c r="G18" s="29" t="inlineStr">
        <is>
          <t>Browser open at https://www.demoblaze.com/
User is NOT logged in</t>
        </is>
      </c>
      <c r="H18" s="29" t="inlineStr">
        <is>
          <t>Samsung galaxy s6</t>
        </is>
      </c>
      <c r="I18" s="29" t="inlineStr">
        <is>
          <t>1. On product page double-click 'Add to cart' quickly
2. Open 'Cart'</t>
        </is>
      </c>
      <c r="J18" s="29" t="inlineStr">
        <is>
          <t>Number of rows equals number of successful 'Product added' alerts; cart total is consistent</t>
        </is>
      </c>
      <c r="K18" s="29" t="inlineStr">
        <is>
          <t>UI</t>
        </is>
      </c>
      <c r="L18" s="29" t="inlineStr">
        <is>
          <t>02.test/01.e2e/02.cart/00.add.to.cart.spec.ts</t>
        </is>
      </c>
      <c r="M18" s="29" t="inlineStr">
        <is>
          <t>Not Run</t>
        </is>
      </c>
      <c r="N18" s="29" t="n"/>
      <c r="O18" s="29" t="n"/>
    </row>
    <row r="19" ht="46.25" customHeight="1" s="17">
      <c r="A19" s="29" t="inlineStr">
        <is>
          <t>CT-018</t>
        </is>
      </c>
      <c r="B19" s="29" t="inlineStr">
        <is>
          <t>Cart</t>
        </is>
      </c>
      <c r="C19" s="29" t="inlineStr">
        <is>
          <t>API</t>
        </is>
      </c>
      <c r="D19" s="29" t="inlineStr">
        <is>
          <t>Add / view / delete cart item via API</t>
        </is>
      </c>
      <c r="E19" s="30" t="inlineStr">
        <is>
          <t>Functional</t>
        </is>
      </c>
      <c r="F19" s="29" t="inlineStr">
        <is>
          <t>High</t>
        </is>
      </c>
      <c r="G19" s="29" t="inlineStr">
        <is>
          <t>Guest cookie id generated</t>
        </is>
      </c>
      <c r="H19" s="29" t="inlineStr">
        <is>
          <t>POST /addtocart, /viewcart, /deleteitem</t>
        </is>
      </c>
      <c r="I19" s="29" t="inlineStr">
        <is>
          <t>1. POST /addtocart {id, cookie, prod_id:1, flag:false}
2. POST /viewcart
3. POST /deleteitem {id}
4. POST /viewcart</t>
        </is>
      </c>
      <c r="J19" s="29" t="inlineStr">
        <is>
          <t>Step 2 returns the item with prod_id 1; after delete, step 4 returns no items</t>
        </is>
      </c>
      <c r="K19" s="29" t="inlineStr">
        <is>
          <t>API</t>
        </is>
      </c>
      <c r="L19" s="29" t="inlineStr">
        <is>
          <t>02.test/00.integration/02.cart.api.spec.ts</t>
        </is>
      </c>
      <c r="M19" s="29" t="inlineStr">
        <is>
          <t>Not Run</t>
        </is>
      </c>
      <c r="N19" s="29" t="n"/>
      <c r="O19" s="29" t="n"/>
    </row>
    <row r="20" ht="46.25" customHeight="1" s="17"/>
    <row r="21" ht="35.05" customHeight="1" s="17"/>
    <row r="22" ht="35.05" customHeight="1" s="17"/>
    <row r="23" ht="35.05" customHeight="1" s="17"/>
    <row r="24" ht="23.85" customHeight="1" s="17"/>
    <row r="25" ht="23.85" customHeight="1" s="17"/>
    <row r="26" ht="23.85" customHeight="1" s="17"/>
    <row r="27" ht="35.05" customHeight="1" s="17"/>
    <row r="28" ht="23.85" customHeight="1" s="17"/>
    <row r="29" ht="35.05" customHeight="1" s="17"/>
    <row r="30" ht="23.85" customHeight="1" s="17"/>
    <row r="31" ht="23.85" customHeight="1" s="17"/>
    <row r="32" ht="35.05" customHeight="1" s="17"/>
    <row r="33" ht="46.25" customHeight="1" s="17"/>
  </sheetData>
  <autoFilter ref="A1:O19"/>
  <conditionalFormatting sqref="M2:M19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"Blocked"</formula>
    </cfRule>
  </conditionalFormatting>
  <dataValidations count="1">
    <dataValidation sqref="M2:M19" showDropDown="0" showInputMessage="0" showErrorMessage="0" allowBlank="1" type="list">
      <formula1>"Not Run,Pass,Fail,Blocked,Skipped"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6796875" defaultRowHeight="15" zeroHeight="0" outlineLevelRow="0"/>
  <cols>
    <col width="10" customWidth="1" style="16" min="1" max="1"/>
    <col width="9" customWidth="1" style="16" min="2" max="2"/>
    <col width="16" customWidth="1" style="16" min="3" max="3"/>
    <col width="38" customWidth="1" style="16" min="4" max="4"/>
    <col width="11" customWidth="1" style="16" min="5" max="5"/>
    <col width="9" customWidth="1" style="16" min="6" max="6"/>
    <col width="30" customWidth="1" style="16" min="7" max="8"/>
    <col width="52" customWidth="1" style="16" min="9" max="10"/>
    <col width="11" customWidth="1" style="16" min="11" max="11"/>
    <col width="34" customWidth="1" style="16" min="12" max="12"/>
    <col width="11" customWidth="1" style="16" min="13" max="13"/>
    <col width="28" customWidth="1" style="16" min="14" max="14"/>
    <col width="34" customWidth="1" style="16" min="15" max="15"/>
  </cols>
  <sheetData>
    <row r="1" ht="23.85" customHeight="1" s="17">
      <c r="A1" s="28" t="inlineStr">
        <is>
          <t>TC ID</t>
        </is>
      </c>
      <c r="B1" s="28" t="inlineStr">
        <is>
          <t>Feature</t>
        </is>
      </c>
      <c r="C1" s="28" t="inlineStr">
        <is>
          <t>Sub-feature</t>
        </is>
      </c>
      <c r="D1" s="28" t="inlineStr">
        <is>
          <t>Title</t>
        </is>
      </c>
      <c r="E1" s="28" t="inlineStr">
        <is>
          <t>Type</t>
        </is>
      </c>
      <c r="F1" s="28" t="inlineStr">
        <is>
          <t>Priority</t>
        </is>
      </c>
      <c r="G1" s="28" t="inlineStr">
        <is>
          <t>Preconditions</t>
        </is>
      </c>
      <c r="H1" s="28" t="inlineStr">
        <is>
          <t>Test Data</t>
        </is>
      </c>
      <c r="I1" s="28" t="inlineStr">
        <is>
          <t>Test Steps</t>
        </is>
      </c>
      <c r="J1" s="28" t="inlineStr">
        <is>
          <t>Expected Result</t>
        </is>
      </c>
      <c r="K1" s="28" t="inlineStr">
        <is>
          <t>Automation</t>
        </is>
      </c>
      <c r="L1" s="28" t="inlineStr">
        <is>
          <t>Planned Spec</t>
        </is>
      </c>
      <c r="M1" s="28" t="inlineStr">
        <is>
          <t>Status</t>
        </is>
      </c>
      <c r="N1" s="28" t="inlineStr">
        <is>
          <t>Actual Result</t>
        </is>
      </c>
      <c r="O1" s="28" t="inlineStr">
        <is>
          <t>Notes</t>
        </is>
      </c>
    </row>
    <row r="2" ht="23.85" customHeight="1" s="17">
      <c r="A2" s="29" t="inlineStr">
        <is>
          <t>OD-001</t>
        </is>
      </c>
      <c r="B2" s="29" t="inlineStr">
        <is>
          <t>Order</t>
        </is>
      </c>
      <c r="C2" s="29" t="inlineStr">
        <is>
          <t>Place order</t>
        </is>
      </c>
      <c r="D2" s="29" t="inlineStr">
        <is>
          <t>'Place Order' opens order form with total</t>
        </is>
      </c>
      <c r="E2" s="30" t="inlineStr">
        <is>
          <t>Functional</t>
        </is>
      </c>
      <c r="F2" s="29" t="inlineStr">
        <is>
          <t>High</t>
        </is>
      </c>
      <c r="G2" s="29" t="inlineStr">
        <is>
          <t>Cart contains 1 product: Samsung galaxy s6 ($360)</t>
        </is>
      </c>
      <c r="H2" s="29" t="inlineStr">
        <is>
          <t>N/A</t>
        </is>
      </c>
      <c r="I2" s="29" t="inlineStr">
        <is>
          <t>1. Open 'Cart'
2. Click 'Place Order'</t>
        </is>
      </c>
      <c r="J2" s="29" t="inlineStr">
        <is>
          <t>Order modal shows 'Total: 360' and fields Name, Country, City, Credit card, Month, Year; buttons 'Close', 'Purchase'</t>
        </is>
      </c>
      <c r="K2" s="29" t="inlineStr">
        <is>
          <t>UI</t>
        </is>
      </c>
      <c r="L2" s="29" t="inlineStr">
        <is>
          <t>02.test/01.e2e/03.order/00.purchase.spec.ts</t>
        </is>
      </c>
      <c r="M2" s="29" t="inlineStr">
        <is>
          <t>Not Run</t>
        </is>
      </c>
      <c r="N2" s="29" t="n"/>
      <c r="O2" s="29" t="n"/>
    </row>
    <row r="3" ht="68.65000000000001" customHeight="1" s="17">
      <c r="A3" s="29" t="inlineStr">
        <is>
          <t>OD-002</t>
        </is>
      </c>
      <c r="B3" s="29" t="inlineStr">
        <is>
          <t>Order</t>
        </is>
      </c>
      <c r="C3" s="29" t="inlineStr">
        <is>
          <t>Place order</t>
        </is>
      </c>
      <c r="D3" s="29" t="inlineStr">
        <is>
          <t>Purchase with valid data</t>
        </is>
      </c>
      <c r="E3" s="30" t="inlineStr">
        <is>
          <t>Functional</t>
        </is>
      </c>
      <c r="F3" s="29" t="inlineStr">
        <is>
          <t>Critical</t>
        </is>
      </c>
      <c r="G3" s="29" t="inlineStr">
        <is>
          <t>Cart contains 1 product: Samsung galaxy s6 ($360)</t>
        </is>
      </c>
      <c r="H3" s="29" t="inlineStr">
        <is>
          <t>Name: Nolan QA
Country: Vietnam
City: Hanoi
Card: 4111111111111111
Month: 10
Year: 2027</t>
        </is>
      </c>
      <c r="I3" s="29" t="inlineStr">
        <is>
          <t>1. Open 'Cart' &gt; 'Place Order'
2. Fill all fields
3. Click 'Purchase'</t>
        </is>
      </c>
      <c r="J3" s="29" t="inlineStr">
        <is>
          <t>Confirmation 'Thank you for your purchase!' shown with Id, Amount: 360 USD, Card Number, Name, Date</t>
        </is>
      </c>
      <c r="K3" s="29" t="inlineStr">
        <is>
          <t>UI</t>
        </is>
      </c>
      <c r="L3" s="29" t="inlineStr">
        <is>
          <t>02.test/01.e2e/03.order/00.purchase.spec.ts</t>
        </is>
      </c>
      <c r="M3" s="29" t="inlineStr">
        <is>
          <t>Not Run</t>
        </is>
      </c>
      <c r="N3" s="29" t="n"/>
      <c r="O3" s="29" t="n"/>
    </row>
    <row r="4" ht="35.05" customHeight="1" s="17">
      <c r="A4" s="29" t="inlineStr">
        <is>
          <t>OD-003</t>
        </is>
      </c>
      <c r="B4" s="29" t="inlineStr">
        <is>
          <t>Order</t>
        </is>
      </c>
      <c r="C4" s="29" t="inlineStr">
        <is>
          <t>Place order</t>
        </is>
      </c>
      <c r="D4" s="29" t="inlineStr">
        <is>
          <t>Confirmation details match the order</t>
        </is>
      </c>
      <c r="E4" s="30" t="inlineStr">
        <is>
          <t>Functional</t>
        </is>
      </c>
      <c r="F4" s="29" t="inlineStr">
        <is>
          <t>High</t>
        </is>
      </c>
      <c r="G4" s="29" t="inlineStr">
        <is>
          <t>Cart contains: Samsung galaxy s6 ($360), Nokia lumia 1520 ($820)</t>
        </is>
      </c>
      <c r="H4" s="29" t="inlineStr">
        <is>
          <t>Valid order data as OD-002</t>
        </is>
      </c>
      <c r="I4" s="29" t="inlineStr">
        <is>
          <t>1. Place order with valid data
2. Read the confirmation text</t>
        </is>
      </c>
      <c r="J4" s="29" t="inlineStr">
        <is>
          <t>Amount = cart total (1180)
Card Number and Name equal the entered values
Date = today's date</t>
        </is>
      </c>
      <c r="K4" s="29" t="inlineStr">
        <is>
          <t>UI</t>
        </is>
      </c>
      <c r="L4" s="29" t="inlineStr">
        <is>
          <t>02.test/01.e2e/03.order/00.purchase.spec.ts</t>
        </is>
      </c>
      <c r="M4" s="29" t="inlineStr">
        <is>
          <t>Not Run</t>
        </is>
      </c>
      <c r="N4" s="29" t="n"/>
      <c r="O4" s="29" t="n"/>
    </row>
    <row r="5" ht="35.05" customHeight="1" s="17">
      <c r="A5" s="29" t="inlineStr">
        <is>
          <t>OD-004</t>
        </is>
      </c>
      <c r="B5" s="29" t="inlineStr">
        <is>
          <t>Order</t>
        </is>
      </c>
      <c r="C5" s="29" t="inlineStr">
        <is>
          <t>Place order</t>
        </is>
      </c>
      <c r="D5" s="29" t="inlineStr">
        <is>
          <t>Cart is emptied after purchase</t>
        </is>
      </c>
      <c r="E5" s="30" t="inlineStr">
        <is>
          <t>Functional</t>
        </is>
      </c>
      <c r="F5" s="29" t="inlineStr">
        <is>
          <t>Critical</t>
        </is>
      </c>
      <c r="G5" s="29" t="inlineStr">
        <is>
          <t>Cart contains 1 product: Samsung galaxy s6 ($360)</t>
        </is>
      </c>
      <c r="H5" s="29" t="inlineStr">
        <is>
          <t>Valid order data</t>
        </is>
      </c>
      <c r="I5" s="29" t="inlineStr">
        <is>
          <t>1. Complete purchase
2. Click 'OK'
3. Open 'Cart'</t>
        </is>
      </c>
      <c r="J5" s="29" t="inlineStr">
        <is>
          <t>Redirected to Home after 'OK'; Cart is empty</t>
        </is>
      </c>
      <c r="K5" s="29" t="inlineStr">
        <is>
          <t>UI</t>
        </is>
      </c>
      <c r="L5" s="29" t="inlineStr">
        <is>
          <t>02.test/01.e2e/03.order/00.purchase.spec.ts</t>
        </is>
      </c>
      <c r="M5" s="29" t="inlineStr">
        <is>
          <t>Not Run</t>
        </is>
      </c>
      <c r="N5" s="29" t="n"/>
      <c r="O5" s="29" t="n"/>
    </row>
    <row r="6" ht="23.85" customHeight="1" s="17">
      <c r="A6" s="29" t="inlineStr">
        <is>
          <t>OD-005</t>
        </is>
      </c>
      <c r="B6" s="29" t="inlineStr">
        <is>
          <t>Order</t>
        </is>
      </c>
      <c r="C6" s="29" t="inlineStr">
        <is>
          <t>Place order</t>
        </is>
      </c>
      <c r="D6" s="29" t="inlineStr">
        <is>
          <t>Purchase with all fields empty</t>
        </is>
      </c>
      <c r="E6" s="32" t="inlineStr">
        <is>
          <t>Negative</t>
        </is>
      </c>
      <c r="F6" s="29" t="inlineStr">
        <is>
          <t>High</t>
        </is>
      </c>
      <c r="G6" s="29" t="inlineStr">
        <is>
          <t>Cart contains 1 product: Samsung galaxy s6 ($360)</t>
        </is>
      </c>
      <c r="H6" s="29" t="inlineStr">
        <is>
          <t>All fields empty</t>
        </is>
      </c>
      <c r="I6" s="29" t="inlineStr">
        <is>
          <t>1. Open 'Place Order'
2. Click 'Purchase'</t>
        </is>
      </c>
      <c r="J6" s="29" t="inlineStr">
        <is>
          <t>Alert 'Please fill out Name and Creditcard.'; no confirmation; cart unchanged</t>
        </is>
      </c>
      <c r="K6" s="29" t="inlineStr">
        <is>
          <t>UI</t>
        </is>
      </c>
      <c r="L6" s="29" t="inlineStr">
        <is>
          <t>02.test/01.e2e/03.order/01.validation.spec.ts</t>
        </is>
      </c>
      <c r="M6" s="29" t="inlineStr">
        <is>
          <t>Not Run</t>
        </is>
      </c>
      <c r="N6" s="29" t="n"/>
      <c r="O6" s="29" t="n"/>
    </row>
    <row r="7" ht="35.05" customHeight="1" s="17">
      <c r="A7" s="29" t="inlineStr">
        <is>
          <t>OD-006</t>
        </is>
      </c>
      <c r="B7" s="29" t="inlineStr">
        <is>
          <t>Order</t>
        </is>
      </c>
      <c r="C7" s="29" t="inlineStr">
        <is>
          <t>Place order</t>
        </is>
      </c>
      <c r="D7" s="29" t="inlineStr">
        <is>
          <t>Purchase without credit card</t>
        </is>
      </c>
      <c r="E7" s="32" t="inlineStr">
        <is>
          <t>Negative</t>
        </is>
      </c>
      <c r="F7" s="29" t="inlineStr">
        <is>
          <t>High</t>
        </is>
      </c>
      <c r="G7" s="29" t="inlineStr">
        <is>
          <t>Cart contains 1 product: Samsung galaxy s6 ($360)</t>
        </is>
      </c>
      <c r="H7" s="29" t="inlineStr">
        <is>
          <t>Name: Nolan QA, Card: (empty)</t>
        </is>
      </c>
      <c r="I7" s="29" t="inlineStr">
        <is>
          <t>1. Open 'Place Order'
2. Fill Name only
3. Click 'Purchase'</t>
        </is>
      </c>
      <c r="J7" s="29" t="inlineStr">
        <is>
          <t>Alert 'Please fill out Name and Creditcard.'; no confirmation</t>
        </is>
      </c>
      <c r="K7" s="29" t="inlineStr">
        <is>
          <t>UI</t>
        </is>
      </c>
      <c r="L7" s="29" t="inlineStr">
        <is>
          <t>02.test/01.e2e/03.order/01.validation.spec.ts</t>
        </is>
      </c>
      <c r="M7" s="29" t="inlineStr">
        <is>
          <t>Not Run</t>
        </is>
      </c>
      <c r="N7" s="29" t="n"/>
      <c r="O7" s="29" t="n"/>
    </row>
    <row r="8" ht="35.05" customHeight="1" s="17">
      <c r="A8" s="29" t="inlineStr">
        <is>
          <t>OD-007</t>
        </is>
      </c>
      <c r="B8" s="29" t="inlineStr">
        <is>
          <t>Order</t>
        </is>
      </c>
      <c r="C8" s="29" t="inlineStr">
        <is>
          <t>Place order</t>
        </is>
      </c>
      <c r="D8" s="29" t="inlineStr">
        <is>
          <t>Purchase without name</t>
        </is>
      </c>
      <c r="E8" s="32" t="inlineStr">
        <is>
          <t>Negative</t>
        </is>
      </c>
      <c r="F8" s="29" t="inlineStr">
        <is>
          <t>High</t>
        </is>
      </c>
      <c r="G8" s="29" t="inlineStr">
        <is>
          <t>Cart contains 1 product: Samsung galaxy s6 ($360)</t>
        </is>
      </c>
      <c r="H8" s="29" t="inlineStr">
        <is>
          <t>Name: (empty), Card: 4111111111111111</t>
        </is>
      </c>
      <c r="I8" s="29" t="inlineStr">
        <is>
          <t>1. Open 'Place Order'
2. Fill Card only
3. Click 'Purchase'</t>
        </is>
      </c>
      <c r="J8" s="29" t="inlineStr">
        <is>
          <t>Alert 'Please fill out Name and Creditcard.'; no confirmation</t>
        </is>
      </c>
      <c r="K8" s="29" t="inlineStr">
        <is>
          <t>UI</t>
        </is>
      </c>
      <c r="L8" s="29" t="inlineStr">
        <is>
          <t>02.test/01.e2e/03.order/01.validation.spec.ts</t>
        </is>
      </c>
      <c r="M8" s="29" t="inlineStr">
        <is>
          <t>Not Run</t>
        </is>
      </c>
      <c r="N8" s="29" t="n"/>
      <c r="O8" s="29" t="n"/>
    </row>
    <row r="9" ht="46.25" customHeight="1" s="17">
      <c r="A9" s="29" t="inlineStr">
        <is>
          <t>OD-008</t>
        </is>
      </c>
      <c r="B9" s="29" t="inlineStr">
        <is>
          <t>Order</t>
        </is>
      </c>
      <c r="C9" s="29" t="inlineStr">
        <is>
          <t>Place order</t>
        </is>
      </c>
      <c r="D9" s="29" t="inlineStr">
        <is>
          <t>Close order form without purchasing</t>
        </is>
      </c>
      <c r="E9" s="32" t="inlineStr">
        <is>
          <t>Negative</t>
        </is>
      </c>
      <c r="F9" s="29" t="inlineStr">
        <is>
          <t>Medium</t>
        </is>
      </c>
      <c r="G9" s="29" t="inlineStr">
        <is>
          <t>Cart contains 1 product: Samsung galaxy s6 ($360)</t>
        </is>
      </c>
      <c r="H9" s="29" t="inlineStr">
        <is>
          <t>Valid order data</t>
        </is>
      </c>
      <c r="I9" s="29" t="inlineStr">
        <is>
          <t>1. Open 'Place Order'
2. Fill fields
3. Click 'Close'
4. Reload Cart</t>
        </is>
      </c>
      <c r="J9" s="29" t="inlineStr">
        <is>
          <t>Modal closes; no confirmation; cart still contains the item</t>
        </is>
      </c>
      <c r="K9" s="29" t="inlineStr">
        <is>
          <t>UI</t>
        </is>
      </c>
      <c r="L9" s="29" t="inlineStr">
        <is>
          <t>02.test/01.e2e/03.order/00.purchase.spec.ts</t>
        </is>
      </c>
      <c r="M9" s="29" t="inlineStr">
        <is>
          <t>Not Run</t>
        </is>
      </c>
      <c r="N9" s="29" t="n"/>
      <c r="O9" s="29" t="n"/>
    </row>
    <row r="10" ht="35.05" customHeight="1" s="17">
      <c r="A10" s="29" t="inlineStr">
        <is>
          <t>OD-009</t>
        </is>
      </c>
      <c r="B10" s="29" t="inlineStr">
        <is>
          <t>Order</t>
        </is>
      </c>
      <c r="C10" s="29" t="inlineStr">
        <is>
          <t>Place order</t>
        </is>
      </c>
      <c r="D10" s="29" t="inlineStr">
        <is>
          <t>Non-numeric credit card number</t>
        </is>
      </c>
      <c r="E10" s="32" t="inlineStr">
        <is>
          <t>Negative</t>
        </is>
      </c>
      <c r="F10" s="29" t="inlineStr">
        <is>
          <t>High</t>
        </is>
      </c>
      <c r="G10" s="29" t="inlineStr">
        <is>
          <t>Cart contains 1 product: Samsung galaxy s6 ($360)</t>
        </is>
      </c>
      <c r="H10" s="29" t="inlineStr">
        <is>
          <t>Card: abcd-efgh</t>
        </is>
      </c>
      <c r="I10" s="29" t="inlineStr">
        <is>
          <t>1. Open 'Place Order'
2. Enter Name and non-numeric card
3. Click 'Purchase'</t>
        </is>
      </c>
      <c r="J10" s="29" t="inlineStr">
        <is>
          <t>Purchase rejected with a card validation message; no confirmation</t>
        </is>
      </c>
      <c r="K10" s="29" t="inlineStr">
        <is>
          <t>UI</t>
        </is>
      </c>
      <c r="L10" s="29" t="inlineStr">
        <is>
          <t>02.test/01.e2e/03.order/01.validation.spec.ts</t>
        </is>
      </c>
      <c r="M10" s="29" t="inlineStr">
        <is>
          <t>Not Run</t>
        </is>
      </c>
      <c r="N10" s="29" t="n"/>
      <c r="O10" s="29" t="inlineStr">
        <is>
          <t>Likely defect if purchase succeeds</t>
        </is>
      </c>
    </row>
    <row r="11" ht="35.05" customHeight="1" s="17">
      <c r="A11" s="29" t="inlineStr">
        <is>
          <t>OD-010</t>
        </is>
      </c>
      <c r="B11" s="29" t="inlineStr">
        <is>
          <t>Order</t>
        </is>
      </c>
      <c r="C11" s="29" t="inlineStr">
        <is>
          <t>Place order</t>
        </is>
      </c>
      <c r="D11" s="29" t="inlineStr">
        <is>
          <t>Invalid month / past year</t>
        </is>
      </c>
      <c r="E11" s="32" t="inlineStr">
        <is>
          <t>Negative</t>
        </is>
      </c>
      <c r="F11" s="29" t="inlineStr">
        <is>
          <t>Medium</t>
        </is>
      </c>
      <c r="G11" s="29" t="inlineStr">
        <is>
          <t>Cart contains 1 product: Samsung galaxy s6 ($360)</t>
        </is>
      </c>
      <c r="H11" s="29" t="inlineStr">
        <is>
          <t>Month: 13; Year: 2000</t>
        </is>
      </c>
      <c r="I11" s="29" t="inlineStr">
        <is>
          <t>1. Open 'Place Order'
2. Enter valid Name/Card, invalid Month &amp; Year
3. Click 'Purchase'</t>
        </is>
      </c>
      <c r="J11" s="29" t="inlineStr">
        <is>
          <t>Purchase rejected with an expiry validation message</t>
        </is>
      </c>
      <c r="K11" s="29" t="inlineStr">
        <is>
          <t>UI</t>
        </is>
      </c>
      <c r="L11" s="29" t="inlineStr">
        <is>
          <t>02.test/01.e2e/03.order/01.validation.spec.ts</t>
        </is>
      </c>
      <c r="M11" s="29" t="inlineStr">
        <is>
          <t>Not Run</t>
        </is>
      </c>
      <c r="N11" s="29" t="n"/>
      <c r="O11" s="29" t="inlineStr">
        <is>
          <t>Likely defect if purchase succeeds</t>
        </is>
      </c>
    </row>
    <row r="12" ht="35.05" customHeight="1" s="17">
      <c r="A12" s="29" t="inlineStr">
        <is>
          <t>OD-011</t>
        </is>
      </c>
      <c r="B12" s="29" t="inlineStr">
        <is>
          <t>Order</t>
        </is>
      </c>
      <c r="C12" s="29" t="inlineStr">
        <is>
          <t>Place order</t>
        </is>
      </c>
      <c r="D12" s="29" t="inlineStr">
        <is>
          <t>Place order with empty cart</t>
        </is>
      </c>
      <c r="E12" s="32" t="inlineStr">
        <is>
          <t>Negative</t>
        </is>
      </c>
      <c r="F12" s="29" t="inlineStr">
        <is>
          <t>High</t>
        </is>
      </c>
      <c r="G12" s="29" t="inlineStr">
        <is>
          <t>Cart is empty</t>
        </is>
      </c>
      <c r="H12" s="29" t="inlineStr">
        <is>
          <t>Valid order data</t>
        </is>
      </c>
      <c r="I12" s="29" t="inlineStr">
        <is>
          <t>1. Open 'Cart'
2. Click 'Place Order'
3. Fill valid data, click 'Purchase'</t>
        </is>
      </c>
      <c r="J12" s="29" t="inlineStr">
        <is>
          <t>Order is blocked (button disabled or message 'Cart is empty'); no confirmation with Amount 0</t>
        </is>
      </c>
      <c r="K12" s="29" t="inlineStr">
        <is>
          <t>UI</t>
        </is>
      </c>
      <c r="L12" s="29" t="inlineStr">
        <is>
          <t>02.test/01.e2e/03.order/01.validation.spec.ts</t>
        </is>
      </c>
      <c r="M12" s="29" t="inlineStr">
        <is>
          <t>Not Run</t>
        </is>
      </c>
      <c r="N12" s="29" t="n"/>
      <c r="O12" s="29" t="inlineStr">
        <is>
          <t>Likely defect if a 0 USD order is confirmed</t>
        </is>
      </c>
    </row>
    <row r="13" ht="23.85" customHeight="1" s="17">
      <c r="A13" s="29" t="inlineStr">
        <is>
          <t>OD-012</t>
        </is>
      </c>
      <c r="B13" s="29" t="inlineStr">
        <is>
          <t>Order</t>
        </is>
      </c>
      <c r="C13" s="29" t="inlineStr">
        <is>
          <t>Place order</t>
        </is>
      </c>
      <c r="D13" s="29" t="inlineStr">
        <is>
          <t>Special / Unicode characters in Name</t>
        </is>
      </c>
      <c r="E13" s="31" t="inlineStr">
        <is>
          <t>Edge</t>
        </is>
      </c>
      <c r="F13" s="29" t="inlineStr">
        <is>
          <t>Medium</t>
        </is>
      </c>
      <c r="G13" s="29" t="inlineStr">
        <is>
          <t>Cart contains 1 product: Samsung galaxy s6 ($360)</t>
        </is>
      </c>
      <c r="H13" s="29" t="inlineStr">
        <is>
          <t>Name: Trần Nam &lt;b&gt;QA&lt;/b&gt;; Card: 4111111111111111</t>
        </is>
      </c>
      <c r="I13" s="29" t="inlineStr">
        <is>
          <t>1. Place order with the given name</t>
        </is>
      </c>
      <c r="J13" s="29" t="inlineStr">
        <is>
          <t>Confirmation shows the name as plain text (no HTML rendered)</t>
        </is>
      </c>
      <c r="K13" s="29" t="inlineStr">
        <is>
          <t>UI</t>
        </is>
      </c>
      <c r="L13" s="29" t="inlineStr">
        <is>
          <t>02.test/01.e2e/03.order/01.validation.spec.ts</t>
        </is>
      </c>
      <c r="M13" s="29" t="inlineStr">
        <is>
          <t>Not Run</t>
        </is>
      </c>
      <c r="N13" s="29" t="n"/>
      <c r="O13" s="29" t="n"/>
    </row>
    <row r="14" ht="23.85" customHeight="1" s="17">
      <c r="A14" s="29" t="inlineStr">
        <is>
          <t>OD-013</t>
        </is>
      </c>
      <c r="B14" s="29" t="inlineStr">
        <is>
          <t>Order</t>
        </is>
      </c>
      <c r="C14" s="29" t="inlineStr">
        <is>
          <t>Place order</t>
        </is>
      </c>
      <c r="D14" s="29" t="inlineStr">
        <is>
          <t>Very long Name and Card (255 chars)</t>
        </is>
      </c>
      <c r="E14" s="31" t="inlineStr">
        <is>
          <t>Edge</t>
        </is>
      </c>
      <c r="F14" s="29" t="inlineStr">
        <is>
          <t>Low</t>
        </is>
      </c>
      <c r="G14" s="29" t="inlineStr">
        <is>
          <t>Cart contains 1 product: Samsung galaxy s6 ($360)</t>
        </is>
      </c>
      <c r="H14" s="29" t="inlineStr">
        <is>
          <t>Name: 'N' x 255; Card: '4' x 255</t>
        </is>
      </c>
      <c r="I14" s="29" t="inlineStr">
        <is>
          <t>1. Place order with long values</t>
        </is>
      </c>
      <c r="J14" s="29" t="inlineStr">
        <is>
          <t>Request handled gracefully: confirmation or validation message; no UI break, no server error</t>
        </is>
      </c>
      <c r="K14" s="29" t="inlineStr">
        <is>
          <t>UI</t>
        </is>
      </c>
      <c r="L14" s="29" t="inlineStr">
        <is>
          <t>02.test/01.e2e/03.order/01.validation.spec.ts</t>
        </is>
      </c>
      <c r="M14" s="29" t="inlineStr">
        <is>
          <t>Not Run</t>
        </is>
      </c>
      <c r="N14" s="29" t="n"/>
      <c r="O14" s="29" t="n"/>
    </row>
    <row r="15" ht="35.05" customHeight="1" s="17">
      <c r="A15" s="29" t="inlineStr">
        <is>
          <t>OD-014</t>
        </is>
      </c>
      <c r="B15" s="29" t="inlineStr">
        <is>
          <t>Order</t>
        </is>
      </c>
      <c r="C15" s="29" t="inlineStr">
        <is>
          <t>Persistence</t>
        </is>
      </c>
      <c r="D15" s="29" t="inlineStr">
        <is>
          <t>Cart unchanged after browser Back from purchase</t>
        </is>
      </c>
      <c r="E15" s="31" t="inlineStr">
        <is>
          <t>Edge</t>
        </is>
      </c>
      <c r="F15" s="29" t="inlineStr">
        <is>
          <t>Low</t>
        </is>
      </c>
      <c r="G15" s="29" t="inlineStr">
        <is>
          <t>Cart contains 1 product: Samsung galaxy s6 ($360)</t>
        </is>
      </c>
      <c r="H15" s="29" t="inlineStr">
        <is>
          <t>Valid order data</t>
        </is>
      </c>
      <c r="I15" s="29" t="inlineStr">
        <is>
          <t>1. Complete purchase and click 'OK'
2. Press browser Back
3. Open 'Cart'</t>
        </is>
      </c>
      <c r="J15" s="29" t="inlineStr">
        <is>
          <t>Cart is empty; purchased item does not reappear</t>
        </is>
      </c>
      <c r="K15" s="29" t="inlineStr">
        <is>
          <t>UI</t>
        </is>
      </c>
      <c r="L15" s="29" t="inlineStr">
        <is>
          <t>02.test/01.e2e/03.order/00.purchase.spec.ts</t>
        </is>
      </c>
      <c r="M15" s="29" t="inlineStr">
        <is>
          <t>Not Run</t>
        </is>
      </c>
      <c r="N15" s="29" t="n"/>
      <c r="O15" s="29" t="n"/>
    </row>
    <row r="16" ht="35.05" customHeight="1" s="17"/>
    <row r="17" ht="23.85" customHeight="1" s="17"/>
    <row r="18" ht="35.05" customHeight="1" s="17"/>
    <row r="19" ht="35.05" customHeight="1" s="17"/>
    <row r="20" ht="46.25" customHeight="1" s="17"/>
    <row r="21" ht="35.05" customHeight="1" s="17"/>
    <row r="22" ht="35.05" customHeight="1" s="17"/>
    <row r="23" ht="35.05" customHeight="1" s="17"/>
    <row r="24" ht="23.85" customHeight="1" s="17"/>
    <row r="25" ht="23.85" customHeight="1" s="17"/>
    <row r="26" ht="23.85" customHeight="1" s="17"/>
    <row r="27" ht="35.05" customHeight="1" s="17"/>
    <row r="28" ht="23.85" customHeight="1" s="17"/>
    <row r="29" ht="35.05" customHeight="1" s="17"/>
    <row r="30" ht="23.85" customHeight="1" s="17"/>
    <row r="31" ht="23.85" customHeight="1" s="17"/>
    <row r="32" ht="35.05" customHeight="1" s="17"/>
    <row r="33" ht="46.25" customHeight="1" s="17"/>
  </sheetData>
  <autoFilter ref="A1:O15"/>
  <conditionalFormatting sqref="M2:M15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"Blocked"</formula>
    </cfRule>
  </conditionalFormatting>
  <dataValidations count="1">
    <dataValidation sqref="M2:M15" showDropDown="0" showInputMessage="0" showErrorMessage="0" allowBlank="1" type="list">
      <formula1>"Not Run,Pass,Fail,Blocked,Skipped"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2026-10-25T06:57:16Z</dcterms:created>
  <dcterms:modified xsi:type="dcterms:W3CDTF">2026-10-26T14:36:23Z</dcterms:modified>
  <cp:revision>0</cp:revision>
</cp:coreProperties>
</file>