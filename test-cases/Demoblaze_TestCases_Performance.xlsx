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Tools\project\demoblaze-qa-automation\test-cases\"/>
    </mc:Choice>
  </mc:AlternateContent>
  <xr:revisionPtr revIDLastSave="0" documentId="13_ncr:1_{DE194E81-4400-4266-9C38-6927F4A00AD1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Summary" sheetId="1" r:id="rId1"/>
    <sheet name="Performance" sheetId="2" r:id="rId2"/>
  </sheets>
  <definedNames>
    <definedName name="_xlnm._FilterDatabase" localSheetId="1" hidden="1">Performance!$A$1:$P$8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" i="1" l="1"/>
  <c r="C19" i="1"/>
  <c r="B19" i="1"/>
  <c r="A19" i="1"/>
  <c r="E19" i="1" s="1"/>
  <c r="C14" i="1"/>
  <c r="B14" i="1"/>
  <c r="D14" i="1" s="1"/>
  <c r="C13" i="1"/>
  <c r="B13" i="1"/>
  <c r="D13" i="1" s="1"/>
  <c r="C12" i="1"/>
  <c r="C15" i="1" s="1"/>
  <c r="B12" i="1"/>
  <c r="D12" i="1" s="1"/>
  <c r="D15" i="1" s="1"/>
  <c r="B15" i="1" l="1"/>
</calcChain>
</file>

<file path=xl/sharedStrings.xml><?xml version="1.0" encoding="utf-8"?>
<sst xmlns="http://schemas.openxmlformats.org/spreadsheetml/2006/main" count="165" uniqueCount="116">
  <si>
    <t>Demoblaze – Performance Test Cases (Login &amp; Cart)</t>
  </si>
  <si>
    <t>Application</t>
  </si>
  <si>
    <t>https://www.demoblaze.com/ (API: https://api.demoblaze.com)</t>
  </si>
  <si>
    <t>Scope</t>
  </si>
  <si>
    <t>Login, Cart – API latency under load + frontend Web Vitals</t>
  </si>
  <si>
    <t>Tool</t>
  </si>
  <si>
    <t>k6 (HTTP + k6/browser)</t>
  </si>
  <si>
    <t>Author</t>
  </si>
  <si>
    <t>Nolan Tran</t>
  </si>
  <si>
    <t>Version</t>
  </si>
  <si>
    <t>1.0</t>
  </si>
  <si>
    <t>Created</t>
  </si>
  <si>
    <t>2026-10-28</t>
  </si>
  <si>
    <t>Coverage</t>
  </si>
  <si>
    <t>Type</t>
  </si>
  <si>
    <t>Login</t>
  </si>
  <si>
    <t>Cart</t>
  </si>
  <si>
    <t>Total</t>
  </si>
  <si>
    <t>Smoke</t>
  </si>
  <si>
    <t>Load</t>
  </si>
  <si>
    <t>Web Vitals</t>
  </si>
  <si>
    <t>Execution status</t>
  </si>
  <si>
    <t>Pass</t>
  </si>
  <si>
    <t>Fail</t>
  </si>
  <si>
    <t>Blocked</t>
  </si>
  <si>
    <t>Not Run</t>
  </si>
  <si>
    <t>Pass rate</t>
  </si>
  <si>
    <t>Load profiles</t>
  </si>
  <si>
    <t>Profile</t>
  </si>
  <si>
    <t>Shape</t>
  </si>
  <si>
    <t>Purpose</t>
  </si>
  <si>
    <t>When it runs</t>
  </si>
  <si>
    <t>smoke</t>
  </si>
  <si>
    <t>1 VU, 1 min</t>
  </si>
  <si>
    <t>Sanity check that script and thresholds work</t>
  </si>
  <si>
    <t>Every push / MR</t>
  </si>
  <si>
    <t>load</t>
  </si>
  <si>
    <t>0→10 VUs (1 min), 10 VUs (3 min), 10→0 (1 min)</t>
  </si>
  <si>
    <t>Expected normal traffic</t>
  </si>
  <si>
    <t>Nightly / manual</t>
  </si>
  <si>
    <t>browser</t>
  </si>
  <si>
    <t>1 VU, 5 iterations, Chromium</t>
  </si>
  <si>
    <t>Frontend Web Vitals</t>
  </si>
  <si>
    <t>TC ID</t>
  </si>
  <si>
    <t>Feature</t>
  </si>
  <si>
    <t>Title</t>
  </si>
  <si>
    <t>Priority</t>
  </si>
  <si>
    <t>Target</t>
  </si>
  <si>
    <t>Preconditions</t>
  </si>
  <si>
    <t>Load Profile</t>
  </si>
  <si>
    <t>Test Flow</t>
  </si>
  <si>
    <t>Metrics</t>
  </si>
  <si>
    <t>Threshold (Pass criteria)</t>
  </si>
  <si>
    <t>Automation</t>
  </si>
  <si>
    <t>k6 Script</t>
  </si>
  <si>
    <t>Status</t>
  </si>
  <si>
    <t>Actual Result</t>
  </si>
  <si>
    <t>Notes</t>
  </si>
  <si>
    <t>PF-001</t>
  </si>
  <si>
    <t>Login API – smoke baseline</t>
  </si>
  <si>
    <t>High</t>
  </si>
  <si>
    <t>POST https://api.demoblaze.com/login</t>
  </si>
  <si>
    <t>Registered account created in setup()</t>
  </si>
  <si>
    <t>smoke: 1 VU, 1 min</t>
  </si>
  <si>
    <t>1. POST /login with valid credentials
2. Check body starts with 'Auth_token:'
3. Sleep 1s</t>
  </si>
  <si>
    <t>http_req_duration{name:login}
http_req_failed
checks</t>
  </si>
  <si>
    <t>p(95) &lt; 1200 ms
http_req_failed rate &lt; 1%
checks rate &gt; 99%</t>
  </si>
  <si>
    <t>k6</t>
  </si>
  <si>
    <t>tests/performance/scenarios/login.k6.ts</t>
  </si>
  <si>
    <t>Runs on every push / MR</t>
  </si>
  <si>
    <t>PF-002</t>
  </si>
  <si>
    <t>Login API – load</t>
  </si>
  <si>
    <t>load: ramp 0→10 VUs 1 min, hold 10 VUs 3 min, ramp down 1 min</t>
  </si>
  <si>
    <t>1. POST /login with valid credentials
2. Check token returned
3. Sleep 1s</t>
  </si>
  <si>
    <t>http_req_duration{name:login}
http_req_failed
checks
http_reqs (throughput)</t>
  </si>
  <si>
    <t>Nightly / manual trigger</t>
  </si>
  <si>
    <t>PF-003</t>
  </si>
  <si>
    <t>Add to cart API – load</t>
  </si>
  <si>
    <t>POST https://api.demoblaze.com/addtocart</t>
  </si>
  <si>
    <t>Each VU uses its own guest cookie id</t>
  </si>
  <si>
    <t>1. POST /addtocart {id, cookie, prod_id, flag:false}
2. Check status 200
3. Sleep 1s</t>
  </si>
  <si>
    <t>http_req_duration{name:addtocart}
http_req_failed
checks</t>
  </si>
  <si>
    <t>tests/performance/scenarios/cart.k6.ts</t>
  </si>
  <si>
    <t>teardown() deletes created rows</t>
  </si>
  <si>
    <t>PF-004</t>
  </si>
  <si>
    <t>View cart API – load with 5 items</t>
  </si>
  <si>
    <t>Medium</t>
  </si>
  <si>
    <t>POST https://api.demoblaze.com/viewcart</t>
  </si>
  <si>
    <t>Each VU's guest cart seeded with 5 items in the first iteration</t>
  </si>
  <si>
    <t>1. POST /viewcart {cookie, flag:false}
2. Check Items length = 5
3. Sleep 1s</t>
  </si>
  <si>
    <t>http_req_duration{name:viewcart}
http_req_failed
checks</t>
  </si>
  <si>
    <t>PF-005</t>
  </si>
  <si>
    <t>Cart journey API – add → view → delete</t>
  </si>
  <si>
    <t>POST https://api.demoblaze.com/addtocart, /viewcart, /deleteitem</t>
  </si>
  <si>
    <t>1. POST /addtocart
2. POST /viewcart – check item present
3. POST /deleteitem
4. POST /viewcart – check item removed
5. Sleep 1s</t>
  </si>
  <si>
    <t>http_req_duration per endpoint
iteration_duration
http_req_failed
checks</t>
  </si>
  <si>
    <t>Each endpoint p(95) &lt; 1200 ms
iteration_duration p(95) &lt; 6000 ms
http_req_failed rate &lt; 1%
checks rate &gt; 99%</t>
  </si>
  <si>
    <t>Cart stays empty after each iteration</t>
  </si>
  <si>
    <t>PF-006</t>
  </si>
  <si>
    <t>Home page (login entry) – Web Vitals</t>
  </si>
  <si>
    <t>https://www.demoblaze.com/</t>
  </si>
  <si>
    <t>None</t>
  </si>
  <si>
    <t>browser: 1 VU, 5 iterations (Chromium)</t>
  </si>
  <si>
    <t>1. Open Home page
2. Wait for product cards
3. Open Log in modal</t>
  </si>
  <si>
    <t>browser_web_vital_lcp / fcp / cls / ttfb</t>
  </si>
  <si>
    <t>LCP p(75) &lt; 2500 ms
FCP p(75) &lt; 1800 ms
CLS p(75) &lt; 0.1
TTFB p(75) &lt; 800 ms</t>
  </si>
  <si>
    <t>tests/performance/scenarios/web-vitals.k6.ts</t>
  </si>
  <si>
    <t>Needs Chromium on the CI runner</t>
  </si>
  <si>
    <t>PF-007</t>
  </si>
  <si>
    <t>Cart page with 3 items – Web Vitals</t>
  </si>
  <si>
    <t>https://www.demoblaze.com/cart.html</t>
  </si>
  <si>
    <t>Guest cart seeded with 3 items via API before page load</t>
  </si>
  <si>
    <t>1. Seed cart via API
2. Open Cart page
3. Wait until 3 rows and Total are rendered</t>
  </si>
  <si>
    <t>browser_web_vital_lcp / fcp / cls / ttfb
cart_render_time (custom Trend)</t>
  </si>
  <si>
    <t>LCP p(75) &lt; 2500 ms
FCP p(75) &lt; 1800 ms
CLS p(75) &lt; 0.1
cart_render_time p(75) &lt; 4000 ms</t>
  </si>
  <si>
    <t>cart_render_time = navigation → last row visible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</si>
</sst>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color rgb="FFFFFFFF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</cellXfs>
  <cellStyles count="1">
    <cellStyle name="Normal" xfId="0" builtinId="0"/>
  </cellStyles>
  <dxfs count="3"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"/>
  <sheetViews>
    <sheetView tabSelected="1" topLeftCell="A13" zoomScaleNormal="100" workbookViewId="0">
      <selection activeCell="E31" sqref="E31"/>
    </sheetView>
  </sheetViews>
  <sheetFormatPr defaultColWidth="8.6328125" defaultRowHeight="14.5" x14ac:dyDescent="0.35"/>
  <cols>
    <col min="1" max="1" width="24" customWidth="1"/>
    <col min="2" max="2" width="46" customWidth="1"/>
    <col min="3" max="3" width="40" customWidth="1"/>
    <col min="4" max="4" width="18" customWidth="1"/>
    <col min="5" max="6" width="12" customWidth="1"/>
  </cols>
  <sheetData>
    <row r="1" spans="1:4" ht="18" x14ac:dyDescent="0.4">
      <c r="A1" s="1" t="s">
        <v>0</v>
      </c>
    </row>
    <row r="3" spans="1:4" x14ac:dyDescent="0.35">
      <c r="A3" s="2" t="s">
        <v>1</v>
      </c>
      <c r="B3" s="3" t="s">
        <v>2</v>
      </c>
    </row>
    <row r="4" spans="1:4" x14ac:dyDescent="0.35">
      <c r="A4" s="2" t="s">
        <v>3</v>
      </c>
      <c r="B4" s="3" t="s">
        <v>4</v>
      </c>
    </row>
    <row r="5" spans="1:4" x14ac:dyDescent="0.35">
      <c r="A5" s="2" t="s">
        <v>5</v>
      </c>
      <c r="B5" s="3" t="s">
        <v>6</v>
      </c>
    </row>
    <row r="6" spans="1:4" x14ac:dyDescent="0.35">
      <c r="A6" s="2" t="s">
        <v>7</v>
      </c>
      <c r="B6" s="3" t="s">
        <v>8</v>
      </c>
    </row>
    <row r="7" spans="1:4" x14ac:dyDescent="0.35">
      <c r="A7" s="2" t="s">
        <v>9</v>
      </c>
      <c r="B7" s="3" t="s">
        <v>10</v>
      </c>
    </row>
    <row r="8" spans="1:4" x14ac:dyDescent="0.35">
      <c r="A8" s="2" t="s">
        <v>11</v>
      </c>
      <c r="B8" s="3" t="s">
        <v>12</v>
      </c>
    </row>
    <row r="10" spans="1:4" x14ac:dyDescent="0.35">
      <c r="A10" s="4" t="s">
        <v>13</v>
      </c>
    </row>
    <row r="11" spans="1:4" x14ac:dyDescent="0.35">
      <c r="A11" s="5" t="s">
        <v>14</v>
      </c>
      <c r="B11" s="5" t="s">
        <v>15</v>
      </c>
      <c r="C11" s="5" t="s">
        <v>16</v>
      </c>
      <c r="D11" s="5" t="s">
        <v>17</v>
      </c>
    </row>
    <row r="12" spans="1:4" x14ac:dyDescent="0.35">
      <c r="A12" s="6" t="s">
        <v>18</v>
      </c>
      <c r="B12" s="7">
        <f>COUNTIFS(Performance!$D:$D,"Smoke",Performance!$B:$B,"Login")</f>
        <v>1</v>
      </c>
      <c r="C12" s="7">
        <f>COUNTIFS(Performance!$D:$D,"Smoke",Performance!$B:$B,"Cart")</f>
        <v>0</v>
      </c>
      <c r="D12" s="7">
        <f>SUM(B12:C12)</f>
        <v>1</v>
      </c>
    </row>
    <row r="13" spans="1:4" x14ac:dyDescent="0.35">
      <c r="A13" s="6" t="s">
        <v>19</v>
      </c>
      <c r="B13" s="7">
        <f>COUNTIFS(Performance!$D:$D,"Load",Performance!$B:$B,"Login")</f>
        <v>1</v>
      </c>
      <c r="C13" s="7">
        <f>COUNTIFS(Performance!$D:$D,"Load",Performance!$B:$B,"Cart")</f>
        <v>3</v>
      </c>
      <c r="D13" s="7">
        <f>SUM(B13:C13)</f>
        <v>4</v>
      </c>
    </row>
    <row r="14" spans="1:4" x14ac:dyDescent="0.35">
      <c r="A14" s="6" t="s">
        <v>20</v>
      </c>
      <c r="B14" s="7">
        <f>COUNTIFS(Performance!$D:$D,"Web Vitals",Performance!$B:$B,"Login")</f>
        <v>1</v>
      </c>
      <c r="C14" s="7">
        <f>COUNTIFS(Performance!$D:$D,"Web Vitals",Performance!$B:$B,"Cart")</f>
        <v>1</v>
      </c>
      <c r="D14" s="7">
        <f>SUM(B14:C14)</f>
        <v>2</v>
      </c>
    </row>
    <row r="15" spans="1:4" x14ac:dyDescent="0.35">
      <c r="A15" s="8" t="s">
        <v>17</v>
      </c>
      <c r="B15" s="9">
        <f>SUM(B12:B14)</f>
        <v>3</v>
      </c>
      <c r="C15" s="9">
        <f>SUM(C12:C14)</f>
        <v>4</v>
      </c>
      <c r="D15" s="9">
        <f>SUM(D12:D14)</f>
        <v>7</v>
      </c>
    </row>
    <row r="17" spans="1:5" x14ac:dyDescent="0.35">
      <c r="A17" s="4" t="s">
        <v>21</v>
      </c>
    </row>
    <row r="18" spans="1:5" x14ac:dyDescent="0.35">
      <c r="A18" s="5" t="s">
        <v>22</v>
      </c>
      <c r="B18" s="5" t="s">
        <v>23</v>
      </c>
      <c r="C18" s="5" t="s">
        <v>24</v>
      </c>
      <c r="D18" s="5" t="s">
        <v>25</v>
      </c>
      <c r="E18" s="5" t="s">
        <v>26</v>
      </c>
    </row>
    <row r="19" spans="1:5" x14ac:dyDescent="0.35">
      <c r="A19" s="7">
        <f>COUNTIF(Performance!$N:$N,"Pass")</f>
        <v>0</v>
      </c>
      <c r="B19" s="7">
        <f>COUNTIF(Performance!$N:$N,"Fail")</f>
        <v>0</v>
      </c>
      <c r="C19" s="7">
        <f>COUNTIF(Performance!$N:$N,"Blocked")</f>
        <v>0</v>
      </c>
      <c r="D19" s="7">
        <f>COUNTIF(Performance!$N:$N,"Not Run")</f>
        <v>7</v>
      </c>
      <c r="E19" s="10">
        <f>IFERROR(A19/(A19+B19+C19),0)</f>
        <v>0</v>
      </c>
    </row>
    <row r="21" spans="1:5" x14ac:dyDescent="0.35">
      <c r="A21" s="4" t="s">
        <v>27</v>
      </c>
    </row>
    <row r="22" spans="1:5" x14ac:dyDescent="0.35">
      <c r="A22" s="5" t="s">
        <v>28</v>
      </c>
      <c r="B22" s="5" t="s">
        <v>29</v>
      </c>
      <c r="C22" s="5" t="s">
        <v>30</v>
      </c>
      <c r="D22" s="5" t="s">
        <v>31</v>
      </c>
    </row>
    <row r="23" spans="1:5" x14ac:dyDescent="0.35">
      <c r="A23" s="11" t="s">
        <v>32</v>
      </c>
      <c r="B23" s="11" t="s">
        <v>33</v>
      </c>
      <c r="C23" s="11" t="s">
        <v>34</v>
      </c>
      <c r="D23" s="11" t="s">
        <v>35</v>
      </c>
    </row>
    <row r="24" spans="1:5" x14ac:dyDescent="0.35">
      <c r="A24" s="11" t="s">
        <v>36</v>
      </c>
      <c r="B24" s="11" t="s">
        <v>37</v>
      </c>
      <c r="C24" s="11" t="s">
        <v>38</v>
      </c>
      <c r="D24" s="11" t="s">
        <v>39</v>
      </c>
    </row>
    <row r="25" spans="1:5" x14ac:dyDescent="0.35">
      <c r="A25" s="11" t="s">
        <v>40</v>
      </c>
      <c r="B25" s="11" t="s">
        <v>41</v>
      </c>
      <c r="C25" s="11" t="s">
        <v>42</v>
      </c>
      <c r="D25" s="11" t="s">
        <v>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8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ColWidth="8.6328125" defaultRowHeight="14.5" x14ac:dyDescent="0.35"/>
  <cols>
    <col min="1" max="2" width="9" customWidth="1"/>
    <col min="3" max="3" width="34" customWidth="1"/>
    <col min="4" max="4" width="12" customWidth="1"/>
    <col min="5" max="5" width="9" customWidth="1"/>
    <col min="6" max="6" width="26" customWidth="1"/>
    <col min="7" max="7" width="28" customWidth="1"/>
    <col min="8" max="8" width="26" customWidth="1"/>
    <col min="9" max="9" width="44" customWidth="1"/>
    <col min="10" max="10" width="28" customWidth="1"/>
    <col min="11" max="11" width="40" customWidth="1"/>
    <col min="12" max="12" width="11" customWidth="1"/>
    <col min="13" max="13" width="36" customWidth="1"/>
    <col min="14" max="14" width="11" customWidth="1"/>
    <col min="15" max="15" width="28" customWidth="1"/>
    <col min="16" max="16" width="30" customWidth="1"/>
  </cols>
  <sheetData>
    <row r="1" spans="1:16" x14ac:dyDescent="0.35">
      <c r="A1" s="5" t="s">
        <v>43</v>
      </c>
      <c r="B1" s="5" t="s">
        <v>44</v>
      </c>
      <c r="C1" s="5" t="s">
        <v>45</v>
      </c>
      <c r="D1" s="5" t="s">
        <v>14</v>
      </c>
      <c r="E1" s="5" t="s">
        <v>46</v>
      </c>
      <c r="F1" s="5" t="s">
        <v>47</v>
      </c>
      <c r="G1" s="5" t="s">
        <v>48</v>
      </c>
      <c r="H1" s="5" t="s">
        <v>49</v>
      </c>
      <c r="I1" s="5" t="s">
        <v>50</v>
      </c>
      <c r="J1" s="5" t="s">
        <v>51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</row>
    <row r="2" spans="1:16" ht="37.5" x14ac:dyDescent="0.35">
      <c r="A2" s="11" t="s">
        <v>58</v>
      </c>
      <c r="B2" s="11" t="s">
        <v>15</v>
      </c>
      <c r="C2" s="11" t="s">
        <v>59</v>
      </c>
      <c r="D2" s="12" t="s">
        <v>18</v>
      </c>
      <c r="E2" s="11" t="s">
        <v>60</v>
      </c>
      <c r="F2" s="11" t="s">
        <v>61</v>
      </c>
      <c r="G2" s="11" t="s">
        <v>62</v>
      </c>
      <c r="H2" s="11" t="s">
        <v>63</v>
      </c>
      <c r="I2" s="11" t="s">
        <v>64</v>
      </c>
      <c r="J2" s="11" t="s">
        <v>65</v>
      </c>
      <c r="K2" s="11" t="s">
        <v>66</v>
      </c>
      <c r="L2" s="11" t="s">
        <v>67</v>
      </c>
      <c r="M2" s="11" t="s">
        <v>68</v>
      </c>
      <c r="N2" s="11" t="s">
        <v>25</v>
      </c>
      <c r="O2" s="11"/>
      <c r="P2" s="11" t="s">
        <v>69</v>
      </c>
    </row>
    <row r="3" spans="1:16" ht="50" x14ac:dyDescent="0.35">
      <c r="A3" s="11" t="s">
        <v>70</v>
      </c>
      <c r="B3" s="11" t="s">
        <v>15</v>
      </c>
      <c r="C3" s="11" t="s">
        <v>71</v>
      </c>
      <c r="D3" s="13" t="s">
        <v>19</v>
      </c>
      <c r="E3" s="11" t="s">
        <v>60</v>
      </c>
      <c r="F3" s="11" t="s">
        <v>61</v>
      </c>
      <c r="G3" s="11" t="s">
        <v>62</v>
      </c>
      <c r="H3" s="11" t="s">
        <v>72</v>
      </c>
      <c r="I3" s="11" t="s">
        <v>73</v>
      </c>
      <c r="J3" s="11" t="s">
        <v>74</v>
      </c>
      <c r="K3" s="11" t="s">
        <v>66</v>
      </c>
      <c r="L3" s="11" t="s">
        <v>67</v>
      </c>
      <c r="M3" s="11" t="s">
        <v>68</v>
      </c>
      <c r="N3" s="11" t="s">
        <v>25</v>
      </c>
      <c r="O3" s="11"/>
      <c r="P3" s="11" t="s">
        <v>75</v>
      </c>
    </row>
    <row r="4" spans="1:16" ht="50" x14ac:dyDescent="0.35">
      <c r="A4" s="11" t="s">
        <v>76</v>
      </c>
      <c r="B4" s="11" t="s">
        <v>16</v>
      </c>
      <c r="C4" s="11" t="s">
        <v>77</v>
      </c>
      <c r="D4" s="13" t="s">
        <v>19</v>
      </c>
      <c r="E4" s="11" t="s">
        <v>60</v>
      </c>
      <c r="F4" s="11" t="s">
        <v>78</v>
      </c>
      <c r="G4" s="11" t="s">
        <v>79</v>
      </c>
      <c r="H4" s="11" t="s">
        <v>72</v>
      </c>
      <c r="I4" s="11" t="s">
        <v>80</v>
      </c>
      <c r="J4" s="11" t="s">
        <v>81</v>
      </c>
      <c r="K4" s="11" t="s">
        <v>66</v>
      </c>
      <c r="L4" s="11" t="s">
        <v>67</v>
      </c>
      <c r="M4" s="11" t="s">
        <v>82</v>
      </c>
      <c r="N4" s="11" t="s">
        <v>25</v>
      </c>
      <c r="O4" s="11"/>
      <c r="P4" s="11" t="s">
        <v>83</v>
      </c>
    </row>
    <row r="5" spans="1:16" ht="37.5" x14ac:dyDescent="0.35">
      <c r="A5" s="11" t="s">
        <v>84</v>
      </c>
      <c r="B5" s="11" t="s">
        <v>16</v>
      </c>
      <c r="C5" s="11" t="s">
        <v>85</v>
      </c>
      <c r="D5" s="13" t="s">
        <v>19</v>
      </c>
      <c r="E5" s="11" t="s">
        <v>86</v>
      </c>
      <c r="F5" s="11" t="s">
        <v>87</v>
      </c>
      <c r="G5" s="11" t="s">
        <v>88</v>
      </c>
      <c r="H5" s="11" t="s">
        <v>72</v>
      </c>
      <c r="I5" s="11" t="s">
        <v>89</v>
      </c>
      <c r="J5" s="11" t="s">
        <v>90</v>
      </c>
      <c r="K5" s="11" t="s">
        <v>66</v>
      </c>
      <c r="L5" s="11" t="s">
        <v>67</v>
      </c>
      <c r="M5" s="11" t="s">
        <v>82</v>
      </c>
      <c r="N5" s="11" t="s">
        <v>25</v>
      </c>
      <c r="O5" s="11"/>
      <c r="P5" s="11"/>
    </row>
    <row r="6" spans="1:16" ht="62.5" x14ac:dyDescent="0.35">
      <c r="A6" s="11" t="s">
        <v>91</v>
      </c>
      <c r="B6" s="11" t="s">
        <v>16</v>
      </c>
      <c r="C6" s="11" t="s">
        <v>92</v>
      </c>
      <c r="D6" s="13" t="s">
        <v>19</v>
      </c>
      <c r="E6" s="11" t="s">
        <v>60</v>
      </c>
      <c r="F6" s="11" t="s">
        <v>93</v>
      </c>
      <c r="G6" s="11" t="s">
        <v>79</v>
      </c>
      <c r="H6" s="11" t="s">
        <v>72</v>
      </c>
      <c r="I6" s="11" t="s">
        <v>94</v>
      </c>
      <c r="J6" s="11" t="s">
        <v>95</v>
      </c>
      <c r="K6" s="11" t="s">
        <v>96</v>
      </c>
      <c r="L6" s="11" t="s">
        <v>67</v>
      </c>
      <c r="M6" s="11" t="s">
        <v>82</v>
      </c>
      <c r="N6" s="11" t="s">
        <v>25</v>
      </c>
      <c r="O6" s="11"/>
      <c r="P6" s="11" t="s">
        <v>97</v>
      </c>
    </row>
    <row r="7" spans="1:16" ht="50" x14ac:dyDescent="0.35">
      <c r="A7" s="11" t="s">
        <v>98</v>
      </c>
      <c r="B7" s="11" t="s">
        <v>15</v>
      </c>
      <c r="C7" s="11" t="s">
        <v>99</v>
      </c>
      <c r="D7" s="14" t="s">
        <v>20</v>
      </c>
      <c r="E7" s="11" t="s">
        <v>86</v>
      </c>
      <c r="F7" s="11" t="s">
        <v>100</v>
      </c>
      <c r="G7" s="11" t="s">
        <v>101</v>
      </c>
      <c r="H7" s="11" t="s">
        <v>102</v>
      </c>
      <c r="I7" s="11" t="s">
        <v>103</v>
      </c>
      <c r="J7" s="11" t="s">
        <v>104</v>
      </c>
      <c r="K7" s="11" t="s">
        <v>105</v>
      </c>
      <c r="L7" s="11" t="s">
        <v>67</v>
      </c>
      <c r="M7" s="11" t="s">
        <v>106</v>
      </c>
      <c r="N7" s="11" t="s">
        <v>25</v>
      </c>
      <c r="O7" s="11"/>
      <c r="P7" s="11" t="s">
        <v>107</v>
      </c>
    </row>
    <row r="8" spans="1:16" ht="50" x14ac:dyDescent="0.35">
      <c r="A8" s="11" t="s">
        <v>108</v>
      </c>
      <c r="B8" s="11" t="s">
        <v>16</v>
      </c>
      <c r="C8" s="11" t="s">
        <v>109</v>
      </c>
      <c r="D8" s="14" t="s">
        <v>20</v>
      </c>
      <c r="E8" s="11" t="s">
        <v>86</v>
      </c>
      <c r="F8" s="11" t="s">
        <v>110</v>
      </c>
      <c r="G8" s="11" t="s">
        <v>111</v>
      </c>
      <c r="H8" s="11" t="s">
        <v>102</v>
      </c>
      <c r="I8" s="11" t="s">
        <v>112</v>
      </c>
      <c r="J8" s="11" t="s">
        <v>113</v>
      </c>
      <c r="K8" s="11" t="s">
        <v>114</v>
      </c>
      <c r="L8" s="11" t="s">
        <v>67</v>
      </c>
      <c r="M8" s="11" t="s">
        <v>106</v>
      </c>
      <c r="N8" s="11" t="s">
        <v>25</v>
      </c>
      <c r="O8" s="11"/>
      <c r="P8" s="11" t="s">
        <v>115</v>
      </c>
    </row>
  </sheetData>
  <autoFilter ref="A1:P8" xr:uid="{00000000-0009-0000-0000-000001000000}"/>
  <conditionalFormatting sqref="N2:N8">
    <cfRule type="cellIs" dxfId="2" priority="2" operator="equal">
      <formula>"Pass"</formula>
    </cfRule>
    <cfRule type="cellIs" dxfId="1" priority="3" operator="equal">
      <formula>"Fail"</formula>
    </cfRule>
    <cfRule type="cellIs" dxfId="0" priority="4" operator="equal">
      <formula>"Blocked"</formula>
    </cfRule>
  </conditionalFormatting>
  <dataValidations count="1">
    <dataValidation type="list" allowBlank="1" sqref="N2:N8" xr:uid="{00000000-0002-0000-0100-000000000000}">
      <formula1>"Not Run,Pass,Fail,Blocked,Skipped"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Trần Quang Nam (VD-KSXVH-PQLDACL)</cp:lastModifiedBy>
  <cp:revision>0</cp:revision>
  <dcterms:created xsi:type="dcterms:W3CDTF">2026-10-28T14:24:17Z</dcterms:created>
  <dcterms:modified xsi:type="dcterms:W3CDTF">2026-10-29T04:57:57Z</dcterms:modified>
  <dc:language>en-US</dc:language>
</cp:coreProperties>
</file>